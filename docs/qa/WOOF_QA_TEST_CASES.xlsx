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un Setup" sheetId="2" state="visible" r:id="rId2"/>
    <sheet name="Feature Coverage" sheetId="3" state="visible" r:id="rId3"/>
    <sheet name="Test Cases" sheetId="4" state="visible" r:id="rId4"/>
    <sheet name="Event Parameters" sheetId="5" state="visible" r:id="rId5"/>
    <sheet name="Test Data" sheetId="6" state="visible" r:id="rId6"/>
    <sheet name="Reference Ledger" sheetId="7" state="visible" r:id="rId7"/>
    <sheet name="Source Notes" sheetId="8" state="visible" r:id="rId8"/>
    <sheet name="Bug Log" sheetId="9" state="visible" r:id="rId9"/>
    <sheet name="Retest Log" sheetId="10" state="visible" r:id="rId10"/>
    <sheet name="Results Summary" sheetId="11" state="visible" r:id="rId11"/>
  </sheets>
  <definedNames>
    <definedName name="_xlnm._FilterDatabase" localSheetId="0" hidden="1">'Start Here'!$A$1:$B$13</definedName>
    <definedName name="_xlnm.Print_Titles" localSheetId="0">'Start Here'!$1:$1</definedName>
    <definedName name="_xlnm._FilterDatabase" localSheetId="1" hidden="1">'Run Setup'!$A$1:$B$15</definedName>
    <definedName name="_xlnm.Print_Titles" localSheetId="1">'Run Setup'!$1:$1</definedName>
    <definedName name="_xlnm._FilterDatabase" localSheetId="2" hidden="1">'Feature Coverage'!$A$1:$G$82</definedName>
    <definedName name="_xlnm.Print_Titles" localSheetId="2">'Feature Coverage'!$1:$1</definedName>
    <definedName name="_xlnm._FilterDatabase" localSheetId="3" hidden="1">'Test Cases'!$A$1:$R$240</definedName>
    <definedName name="_xlnm.Print_Titles" localSheetId="3">'Test Cases'!$1:$1</definedName>
    <definedName name="_xlnm._FilterDatabase" localSheetId="4" hidden="1">'Event Parameters'!$A$1:$N$47</definedName>
    <definedName name="_xlnm.Print_Titles" localSheetId="4">'Event Parameters'!$1:$1</definedName>
    <definedName name="_xlnm._FilterDatabase" localSheetId="5" hidden="1">'Test Data'!$A$1:$C$15</definedName>
    <definedName name="_xlnm.Print_Titles" localSheetId="5">'Test Data'!$1:$1</definedName>
    <definedName name="_xlnm._FilterDatabase" localSheetId="6" hidden="1">'Reference Ledger'!$A$1:$J$10</definedName>
    <definedName name="_xlnm.Print_Titles" localSheetId="6">'Reference Ledger'!$1:$1</definedName>
    <definedName name="_xlnm._FilterDatabase" localSheetId="7" hidden="1">'Source Notes'!$A$1:$E$11</definedName>
    <definedName name="_xlnm.Print_Titles" localSheetId="7">'Source Notes'!$1:$1</definedName>
    <definedName name="_xlnm._FilterDatabase" localSheetId="8" hidden="1">'Bug Log'!$A$1:$L$61</definedName>
    <definedName name="_xlnm.Print_Titles" localSheetId="8">'Bug Log'!$1:$1</definedName>
    <definedName name="_xlnm._FilterDatabase" localSheetId="9" hidden="1">'Retest Log'!$A$1:$J$101</definedName>
    <definedName name="_xlnm.Print_Titles" localSheetId="9">'Retest Log'!$1:$1</definedName>
    <definedName name="_xlnm._FilterDatabase" localSheetId="10" hidden="1">'Results Summary'!$A$1:$B$1</definedName>
    <definedName name="_xlnm.Print_Titles" localSheetId="10">'Results Summary'!$1:$1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color rgb="00223047"/>
      <sz val="11"/>
    </font>
  </fonts>
  <fills count="4">
    <fill>
      <patternFill/>
    </fill>
    <fill>
      <patternFill patternType="gray125"/>
    </fill>
    <fill>
      <patternFill patternType="solid">
        <fgColor rgb="00F53799"/>
      </patternFill>
    </fill>
    <fill>
      <patternFill patternType="solid">
        <fgColor rgb="00FFF7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dxfs count="4">
    <dxf>
      <fill>
        <patternFill patternType="solid">
          <fgColor rgb="00DCFCE7"/>
        </patternFill>
      </fill>
    </dxf>
    <dxf>
      <fill>
        <patternFill patternType="solid">
          <fgColor rgb="00FEE2E2"/>
        </patternFill>
      </fill>
    </dxf>
    <dxf>
      <fill>
        <patternFill patternType="solid">
          <fgColor rgb="00FEF3C7"/>
        </patternFill>
      </fill>
    </dxf>
    <dxf>
      <fill>
        <patternFill patternType="solid">
          <f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35" customWidth="1" min="2" max="2"/>
  </cols>
  <sheetData>
    <row r="1" ht="32" customHeight="1">
      <c r="A1" s="1" t="inlineStr">
        <is>
          <t>Topic</t>
        </is>
      </c>
      <c r="B1" s="1" t="inlineStr">
        <is>
          <t>Instruction</t>
        </is>
      </c>
    </row>
    <row r="2">
      <c r="A2" s="2" t="inlineStr">
        <is>
          <t>Purpose</t>
        </is>
      </c>
      <c r="B2" s="2" t="inlineStr">
        <is>
          <t>Feature-level manual acceptance tests. A feature is evaluated through successful workflow, important validation/failure handling and correctness/persistence—not each button.</t>
        </is>
      </c>
    </row>
    <row r="3">
      <c r="A3" s="3" t="inlineStr">
        <is>
          <t>Scope</t>
        </is>
      </c>
      <c r="B3" s="3" t="inlineStr">
        <is>
          <t>81 features; 239 acceptance cases. Eight simulator event families use a separate 46-template parameter matrix.</t>
        </is>
      </c>
    </row>
    <row r="4">
      <c r="A4" s="2" t="inlineStr">
        <is>
          <t>Start</t>
        </is>
      </c>
      <c r="B4" s="2" t="inlineStr">
        <is>
          <t>Fill Run Setup. Prepare Test Data. Filter Test Cases by module/priority; execute and record actual outcome, evidence, tester, date and bug ID.</t>
        </is>
      </c>
    </row>
    <row r="5">
      <c r="A5" s="3" t="inlineStr">
        <is>
          <t>Feature result</t>
        </is>
      </c>
      <c r="B5" s="3" t="inlineStr">
        <is>
          <t>Feature Coverage calculates Pass only when all required feature cases pass or have documented approved N/A, and all relevant event parameters pass. Failed/blocked/not-run checks prevent unconditional Pass.</t>
        </is>
      </c>
    </row>
    <row r="6">
      <c r="A6" s="2" t="inlineStr">
        <is>
          <t>One-case discipline</t>
        </is>
      </c>
      <c r="B6" s="2" t="inlineStr">
        <is>
          <t>Complete all steps and expected criteria before Pass. If a grouped negative scenario contains several variants, record each actual variant; any mismatch fails the case. Use Retest Log for extra executions.</t>
        </is>
      </c>
    </row>
    <row r="7">
      <c r="A7" s="3" t="inlineStr">
        <is>
          <t>Statuses</t>
        </is>
      </c>
      <c r="B7" s="3" t="inlineStr">
        <is>
          <t>Not Run: untouched. Pass: expected outcome observed. Fail: mismatch observed. Blocked: setup/dependency prevents execution. N/A: approved out-of-scope with reason; never use it to hide a failure.</t>
        </is>
      </c>
    </row>
    <row r="8">
      <c r="A8" s="2" t="inlineStr">
        <is>
          <t>Evidence</t>
        </is>
      </c>
      <c r="B8" s="2" t="inlineStr">
        <is>
          <t>Use screenshot/output/export/QA object ID and source comparison. Do not include passwords, API keys, inventory bearer tokens or authenticator secrets.</t>
        </is>
      </c>
    </row>
    <row r="9">
      <c r="A9" s="3" t="inlineStr">
        <is>
          <t>Safety</t>
        </is>
      </c>
      <c r="B9" s="3" t="inlineStr">
        <is>
          <t>Use isolated QA database/account/products/recommendations. Import replacement, retention, deletes, password changes and campaign publication have side effects; backup/restore and approved QA destination required.</t>
        </is>
      </c>
    </row>
    <row r="10">
      <c r="A10" s="2" t="inlineStr">
        <is>
          <t>Priorities</t>
        </is>
      </c>
      <c r="B10" s="2" t="inlineStr">
        <is>
          <t>P0 core access/data integrity/simulation/integration; P1 feature workflows; P2 additional route/scope. Agree scope with QA lead and document unexecuted work.</t>
        </is>
      </c>
    </row>
    <row r="11">
      <c r="A11" s="3" t="inlineStr">
        <is>
          <t>Acceptance</t>
        </is>
      </c>
      <c r="B11" s="3" t="inlineStr">
        <is>
          <t>All required cases and event variants passed with evidence; zero unresolved Critical/High defects unless explicitly accepted by lead. Test outcomes support functionality within tested scope, not every possible future condition.</t>
        </is>
      </c>
    </row>
    <row r="12">
      <c r="A12" s="2" t="inlineStr">
        <is>
          <t>Snapshot</t>
        </is>
      </c>
      <c r="B12" s="2" t="inlineStr">
        <is>
          <t>2026-10-15 merged working tree, HEAD b9a1e2d plus local desktop/inventory/diagnostic/simulator updates. Record actual installer hash/build; source line details are not the execution oracle.</t>
        </is>
      </c>
    </row>
    <row r="13">
      <c r="A13" s="3" t="inlineStr">
        <is>
          <t>Previous pack</t>
        </is>
      </c>
      <c r="B13" s="3" t="inlineStr">
        <is>
          <t>Original per-click files moved to archive-per-click/. They are superseded and are not part of this feature-level run.</t>
        </is>
      </c>
    </row>
  </sheetData>
  <autoFilter ref="A1:B13"/>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B15"/>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0" customWidth="1" min="2" max="2"/>
  </cols>
  <sheetData>
    <row r="1" ht="32" customHeight="1">
      <c r="A1" s="1" t="inlineStr">
        <is>
          <t>Field</t>
        </is>
      </c>
      <c r="B1" s="1" t="inlineStr">
        <is>
          <t>Value</t>
        </is>
      </c>
    </row>
    <row r="2">
      <c r="A2" s="2" t="inlineStr">
        <is>
          <t>Run ID</t>
        </is>
      </c>
      <c r="B2" s="2" t="inlineStr"/>
    </row>
    <row r="3">
      <c r="A3" s="3" t="inlineStr">
        <is>
          <t>QA date</t>
        </is>
      </c>
      <c r="B3" s="3" t="inlineStr"/>
    </row>
    <row r="4">
      <c r="A4" s="2" t="inlineStr">
        <is>
          <t>QA lead / testers</t>
        </is>
      </c>
      <c r="B4" s="2" t="inlineStr"/>
    </row>
    <row r="5">
      <c r="A5" s="3" t="inlineStr">
        <is>
          <t>Build / commit / local changes</t>
        </is>
      </c>
      <c r="B5" s="3" t="inlineStr"/>
    </row>
    <row r="6">
      <c r="A6" s="2" t="inlineStr">
        <is>
          <t>Installer filename / SHA256</t>
        </is>
      </c>
      <c r="B6" s="2" t="inlineStr"/>
    </row>
    <row r="7">
      <c r="A7" s="3" t="inlineStr">
        <is>
          <t>OS / architecture / browser</t>
        </is>
      </c>
      <c r="B7" s="3" t="inlineStr"/>
    </row>
    <row r="8">
      <c r="A8" s="2" t="inlineStr">
        <is>
          <t>Viewport / zoom</t>
        </is>
      </c>
      <c r="B8" s="2" t="inlineStr"/>
    </row>
    <row r="9">
      <c r="A9" s="3" t="inlineStr">
        <is>
          <t>QA environment / DB snapshot</t>
        </is>
      </c>
      <c r="B9" s="3" t="inlineStr"/>
    </row>
    <row r="10">
      <c r="A10" s="2" t="inlineStr">
        <is>
          <t>QA data versions</t>
        </is>
      </c>
      <c r="B10" s="2" t="inlineStr"/>
    </row>
    <row r="11">
      <c r="A11" s="3" t="inlineStr">
        <is>
          <t>Timezone / target date</t>
        </is>
      </c>
      <c r="B11" s="3" t="inlineStr"/>
    </row>
    <row r="12">
      <c r="A12" s="2" t="inlineStr">
        <is>
          <t>Agreed included features</t>
        </is>
      </c>
      <c r="B12" s="2" t="inlineStr"/>
    </row>
    <row r="13">
      <c r="A13" s="3" t="inlineStr">
        <is>
          <t>Approved N/A / limitations</t>
        </is>
      </c>
      <c r="B13" s="3" t="inlineStr"/>
    </row>
    <row r="14">
      <c r="A14" s="2" t="inlineStr">
        <is>
          <t>Backup / restore owner</t>
        </is>
      </c>
      <c r="B14" s="2" t="inlineStr"/>
    </row>
    <row r="15">
      <c r="A15" s="3" t="inlineStr">
        <is>
          <t>Final sign-off</t>
        </is>
      </c>
      <c r="B15" s="3" t="inlineStr"/>
    </row>
  </sheetData>
  <autoFilter ref="A1:B1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G82"/>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7" customWidth="1" min="2" max="2"/>
    <col width="52" customWidth="1" min="3" max="3"/>
    <col width="95" customWidth="1" min="4" max="4"/>
    <col width="45" customWidth="1" min="5" max="5"/>
    <col width="24" customWidth="1" min="6" max="6"/>
    <col width="65" customWidth="1" min="7" max="7"/>
  </cols>
  <sheetData>
    <row r="1" ht="32" customHeight="1">
      <c r="A1" s="1" t="inlineStr">
        <is>
          <t>Feature ID</t>
        </is>
      </c>
      <c r="B1" s="1" t="inlineStr">
        <is>
          <t>Module</t>
        </is>
      </c>
      <c r="C1" s="1" t="inlineStr">
        <is>
          <t>Feature</t>
        </is>
      </c>
      <c r="D1" s="1" t="inlineStr">
        <is>
          <t>Acceptance Goal</t>
        </is>
      </c>
      <c r="E1" s="1" t="inlineStr">
        <is>
          <t>Test IDs</t>
        </is>
      </c>
      <c r="F1" s="1" t="inlineStr">
        <is>
          <t>Feature Result</t>
        </is>
      </c>
      <c r="G1" s="1" t="inlineStr">
        <is>
          <t>Scope / N-A Reason</t>
        </is>
      </c>
    </row>
    <row r="2">
      <c r="A2" s="2" t="inlineStr">
        <is>
          <t>F-001</t>
        </is>
      </c>
      <c r="B2" s="2" t="inlineStr">
        <is>
          <t>Login &amp; Recovery</t>
        </is>
      </c>
      <c r="C2" s="2" t="inlineStr">
        <is>
          <t>Owner login and MFA</t>
        </is>
      </c>
      <c r="D2" s="2" t="inlineStr">
        <is>
          <t>Only authorized owner with required MFA can access the system.</t>
        </is>
      </c>
      <c r="E2" s="2" t="inlineStr">
        <is>
          <t>TC-001, TC-002, TC-003</t>
        </is>
      </c>
      <c r="F2" s="2">
        <f>IF(COUNTIFS('Test Cases'!$B$2:$B$240,A2,'Test Cases'!$M$2:$M$240,"Fail")+COUNTIFS('Event Parameters'!$B$2:$B$47,A2,'Event Parameters'!$J$2:$J$47,"Fail")&gt;0,"Fail",IF(COUNTIFS('Test Cases'!$B$2:$B$240,A2,'Test Cases'!$M$2:$M$240,"Blocked")+COUNTIFS('Event Parameters'!$B$2:$B$47,A2,'Event Parameters'!$J$2:$J$47,"Blocked")&gt;0,"Blocked",IF(COUNTIFS('Test Cases'!$B$2:$B$240,A2,'Test Cases'!$M$2:$M$240,"Not Run")+COUNTIFS('Event Parameters'!$B$2:$B$47,A2,'Event Parameters'!$J$2:$J$47,"Not Run")&gt;0,"Not Run",IF(COUNTIFS('Test Cases'!$B$2:$B$240,A2,'Test Cases'!$M$2:$M$240,"Pass")+COUNTIFS('Event Parameters'!$B$2:$B$47,A2,'Event Parameters'!$J$2:$J$47,"Pass")&gt;0,"Pass","N/A"))))</f>
        <v/>
      </c>
      <c r="G2" s="2" t="inlineStr"/>
    </row>
    <row r="3">
      <c r="A3" s="3" t="inlineStr">
        <is>
          <t>F-002</t>
        </is>
      </c>
      <c r="B3" s="3" t="inlineStr">
        <is>
          <t>Login &amp; Recovery</t>
        </is>
      </c>
      <c r="C3" s="3" t="inlineStr">
        <is>
          <t>Password recovery</t>
        </is>
      </c>
      <c r="D3" s="3" t="inlineStr">
        <is>
          <t>Recover account through valid secure email link.</t>
        </is>
      </c>
      <c r="E3" s="3" t="inlineStr">
        <is>
          <t>TC-004, TC-005, TC-006</t>
        </is>
      </c>
      <c r="F3" s="3">
        <f>IF(COUNTIFS('Test Cases'!$B$2:$B$240,A3,'Test Cases'!$M$2:$M$240,"Fail")+COUNTIFS('Event Parameters'!$B$2:$B$47,A3,'Event Parameters'!$J$2:$J$47,"Fail")&gt;0,"Fail",IF(COUNTIFS('Test Cases'!$B$2:$B$240,A3,'Test Cases'!$M$2:$M$240,"Blocked")+COUNTIFS('Event Parameters'!$B$2:$B$47,A3,'Event Parameters'!$J$2:$J$47,"Blocked")&gt;0,"Blocked",IF(COUNTIFS('Test Cases'!$B$2:$B$240,A3,'Test Cases'!$M$2:$M$240,"Not Run")+COUNTIFS('Event Parameters'!$B$2:$B$47,A3,'Event Parameters'!$J$2:$J$47,"Not Run")&gt;0,"Not Run",IF(COUNTIFS('Test Cases'!$B$2:$B$240,A3,'Test Cases'!$M$2:$M$240,"Pass")+COUNTIFS('Event Parameters'!$B$2:$B$47,A3,'Event Parameters'!$J$2:$J$47,"Pass")&gt;0,"Pass","N/A"))))</f>
        <v/>
      </c>
      <c r="G3" s="3" t="inlineStr"/>
    </row>
    <row r="4">
      <c r="A4" s="2" t="inlineStr">
        <is>
          <t>F-003</t>
        </is>
      </c>
      <c r="B4" s="2" t="inlineStr">
        <is>
          <t>Login &amp; Recovery</t>
        </is>
      </c>
      <c r="C4" s="2" t="inlineStr">
        <is>
          <t>Authenticator enrollment</t>
        </is>
      </c>
      <c r="D4" s="2" t="inlineStr">
        <is>
          <t>Enroll and verify MFA only through authorized setup.</t>
        </is>
      </c>
      <c r="E4" s="2" t="inlineStr">
        <is>
          <t>TC-007, TC-008, TC-009</t>
        </is>
      </c>
      <c r="F4" s="2">
        <f>IF(COUNTIFS('Test Cases'!$B$2:$B$240,A4,'Test Cases'!$M$2:$M$240,"Fail")+COUNTIFS('Event Parameters'!$B$2:$B$47,A4,'Event Parameters'!$J$2:$J$47,"Fail")&gt;0,"Fail",IF(COUNTIFS('Test Cases'!$B$2:$B$240,A4,'Test Cases'!$M$2:$M$240,"Blocked")+COUNTIFS('Event Parameters'!$B$2:$B$47,A4,'Event Parameters'!$J$2:$J$47,"Blocked")&gt;0,"Blocked",IF(COUNTIFS('Test Cases'!$B$2:$B$240,A4,'Test Cases'!$M$2:$M$240,"Not Run")+COUNTIFS('Event Parameters'!$B$2:$B$47,A4,'Event Parameters'!$J$2:$J$47,"Not Run")&gt;0,"Not Run",IF(COUNTIFS('Test Cases'!$B$2:$B$240,A4,'Test Cases'!$M$2:$M$240,"Pass")+COUNTIFS('Event Parameters'!$B$2:$B$47,A4,'Event Parameters'!$J$2:$J$47,"Pass")&gt;0,"Pass","N/A"))))</f>
        <v/>
      </c>
      <c r="G4" s="2" t="inlineStr"/>
    </row>
    <row r="5">
      <c r="A5" s="3" t="inlineStr">
        <is>
          <t>F-004</t>
        </is>
      </c>
      <c r="B5" s="3" t="inlineStr">
        <is>
          <t>Navigation &amp; Header</t>
        </is>
      </c>
      <c r="C5" s="3" t="inlineStr">
        <is>
          <t>Sign-out and session timeout</t>
        </is>
      </c>
      <c r="D5" s="3" t="inlineStr">
        <is>
          <t>End access reliably on logout or true inactivity.</t>
        </is>
      </c>
      <c r="E5" s="3" t="inlineStr">
        <is>
          <t>TC-010, TC-011, TC-012</t>
        </is>
      </c>
      <c r="F5" s="3">
        <f>IF(COUNTIFS('Test Cases'!$B$2:$B$240,A5,'Test Cases'!$M$2:$M$240,"Fail")+COUNTIFS('Event Parameters'!$B$2:$B$47,A5,'Event Parameters'!$J$2:$J$47,"Fail")&gt;0,"Fail",IF(COUNTIFS('Test Cases'!$B$2:$B$240,A5,'Test Cases'!$M$2:$M$240,"Blocked")+COUNTIFS('Event Parameters'!$B$2:$B$47,A5,'Event Parameters'!$J$2:$J$47,"Blocked")&gt;0,"Blocked",IF(COUNTIFS('Test Cases'!$B$2:$B$240,A5,'Test Cases'!$M$2:$M$240,"Not Run")+COUNTIFS('Event Parameters'!$B$2:$B$47,A5,'Event Parameters'!$J$2:$J$47,"Not Run")&gt;0,"Not Run",IF(COUNTIFS('Test Cases'!$B$2:$B$240,A5,'Test Cases'!$M$2:$M$240,"Pass")+COUNTIFS('Event Parameters'!$B$2:$B$47,A5,'Event Parameters'!$J$2:$J$47,"Pass")&gt;0,"Pass","N/A"))))</f>
        <v/>
      </c>
      <c r="G5" s="3" t="inlineStr"/>
    </row>
    <row r="6">
      <c r="A6" s="2" t="inlineStr">
        <is>
          <t>F-005</t>
        </is>
      </c>
      <c r="B6" s="2" t="inlineStr">
        <is>
          <t>Navigation &amp; Header</t>
        </is>
      </c>
      <c r="C6" s="2" t="inlineStr">
        <is>
          <t>Page navigation and responsive sidebar</t>
        </is>
      </c>
      <c r="D6" s="2" t="inlineStr">
        <is>
          <t>Reach all main modules with consistent selected route.</t>
        </is>
      </c>
      <c r="E6" s="2" t="inlineStr">
        <is>
          <t>TC-013, TC-014, TC-015</t>
        </is>
      </c>
      <c r="F6" s="2">
        <f>IF(COUNTIFS('Test Cases'!$B$2:$B$240,A6,'Test Cases'!$M$2:$M$240,"Fail")+COUNTIFS('Event Parameters'!$B$2:$B$47,A6,'Event Parameters'!$J$2:$J$47,"Fail")&gt;0,"Fail",IF(COUNTIFS('Test Cases'!$B$2:$B$240,A6,'Test Cases'!$M$2:$M$240,"Blocked")+COUNTIFS('Event Parameters'!$B$2:$B$47,A6,'Event Parameters'!$J$2:$J$47,"Blocked")&gt;0,"Blocked",IF(COUNTIFS('Test Cases'!$B$2:$B$240,A6,'Test Cases'!$M$2:$M$240,"Not Run")+COUNTIFS('Event Parameters'!$B$2:$B$47,A6,'Event Parameters'!$J$2:$J$47,"Not Run")&gt;0,"Not Run",IF(COUNTIFS('Test Cases'!$B$2:$B$240,A6,'Test Cases'!$M$2:$M$240,"Pass")+COUNTIFS('Event Parameters'!$B$2:$B$47,A6,'Event Parameters'!$J$2:$J$47,"Pass")&gt;0,"Pass","N/A"))))</f>
        <v/>
      </c>
      <c r="G6" s="2" t="inlineStr"/>
    </row>
    <row r="7">
      <c r="A7" s="3" t="inlineStr">
        <is>
          <t>F-006</t>
        </is>
      </c>
      <c r="B7" s="3" t="inlineStr">
        <is>
          <t>Navigation &amp; Header</t>
        </is>
      </c>
      <c r="C7" s="3" t="inlineStr">
        <is>
          <t>Global reporting date scope</t>
        </is>
      </c>
      <c r="D7" s="3" t="inlineStr">
        <is>
          <t>Apply correct shared reporting date range.</t>
        </is>
      </c>
      <c r="E7" s="3" t="inlineStr">
        <is>
          <t>TC-016, TC-017, TC-018</t>
        </is>
      </c>
      <c r="F7" s="3">
        <f>IF(COUNTIFS('Test Cases'!$B$2:$B$240,A7,'Test Cases'!$M$2:$M$240,"Fail")+COUNTIFS('Event Parameters'!$B$2:$B$47,A7,'Event Parameters'!$J$2:$J$47,"Fail")&gt;0,"Fail",IF(COUNTIFS('Test Cases'!$B$2:$B$240,A7,'Test Cases'!$M$2:$M$240,"Blocked")+COUNTIFS('Event Parameters'!$B$2:$B$47,A7,'Event Parameters'!$J$2:$J$47,"Blocked")&gt;0,"Blocked",IF(COUNTIFS('Test Cases'!$B$2:$B$240,A7,'Test Cases'!$M$2:$M$240,"Not Run")+COUNTIFS('Event Parameters'!$B$2:$B$47,A7,'Event Parameters'!$J$2:$J$47,"Not Run")&gt;0,"Not Run",IF(COUNTIFS('Test Cases'!$B$2:$B$240,A7,'Test Cases'!$M$2:$M$240,"Pass")+COUNTIFS('Event Parameters'!$B$2:$B$47,A7,'Event Parameters'!$J$2:$J$47,"Pass")&gt;0,"Pass","N/A"))))</f>
        <v/>
      </c>
      <c r="G7" s="3" t="inlineStr"/>
    </row>
    <row r="8">
      <c r="A8" s="2" t="inlineStr">
        <is>
          <t>F-007</t>
        </is>
      </c>
      <c r="B8" s="2" t="inlineStr">
        <is>
          <t>Navigation &amp; Header</t>
        </is>
      </c>
      <c r="C8" s="2" t="inlineStr">
        <is>
          <t>Notification management</t>
        </is>
      </c>
      <c r="D8" s="2" t="inlineStr">
        <is>
          <t>View, filter, act on and dismiss real notifications.</t>
        </is>
      </c>
      <c r="E8" s="2" t="inlineStr">
        <is>
          <t>TC-019, TC-020, TC-021</t>
        </is>
      </c>
      <c r="F8" s="2">
        <f>IF(COUNTIFS('Test Cases'!$B$2:$B$240,A8,'Test Cases'!$M$2:$M$240,"Fail")+COUNTIFS('Event Parameters'!$B$2:$B$47,A8,'Event Parameters'!$J$2:$J$47,"Fail")&gt;0,"Fail",IF(COUNTIFS('Test Cases'!$B$2:$B$240,A8,'Test Cases'!$M$2:$M$240,"Blocked")+COUNTIFS('Event Parameters'!$B$2:$B$47,A8,'Event Parameters'!$J$2:$J$47,"Blocked")&gt;0,"Blocked",IF(COUNTIFS('Test Cases'!$B$2:$B$240,A8,'Test Cases'!$M$2:$M$240,"Not Run")+COUNTIFS('Event Parameters'!$B$2:$B$47,A8,'Event Parameters'!$J$2:$J$47,"Not Run")&gt;0,"Not Run",IF(COUNTIFS('Test Cases'!$B$2:$B$240,A8,'Test Cases'!$M$2:$M$240,"Pass")+COUNTIFS('Event Parameters'!$B$2:$B$47,A8,'Event Parameters'!$J$2:$J$47,"Pass")&gt;0,"Pass","N/A"))))</f>
        <v/>
      </c>
      <c r="G8" s="2" t="inlineStr"/>
    </row>
    <row r="9">
      <c r="A9" s="3" t="inlineStr">
        <is>
          <t>F-008</t>
        </is>
      </c>
      <c r="B9" s="3" t="inlineStr">
        <is>
          <t>Home</t>
        </is>
      </c>
      <c r="C9" s="3" t="inlineStr">
        <is>
          <t>Priority alerts and snoozing</t>
        </is>
      </c>
      <c r="D9" s="3" t="inlineStr">
        <is>
          <t>Present actionable business alerts with traceable acknowledgment.</t>
        </is>
      </c>
      <c r="E9" s="3" t="inlineStr">
        <is>
          <t>TC-022, TC-023, TC-024</t>
        </is>
      </c>
      <c r="F9" s="3">
        <f>IF(COUNTIFS('Test Cases'!$B$2:$B$240,A9,'Test Cases'!$M$2:$M$240,"Fail")+COUNTIFS('Event Parameters'!$B$2:$B$47,A9,'Event Parameters'!$J$2:$J$47,"Fail")&gt;0,"Fail",IF(COUNTIFS('Test Cases'!$B$2:$B$240,A9,'Test Cases'!$M$2:$M$240,"Blocked")+COUNTIFS('Event Parameters'!$B$2:$B$47,A9,'Event Parameters'!$J$2:$J$47,"Blocked")&gt;0,"Blocked",IF(COUNTIFS('Test Cases'!$B$2:$B$240,A9,'Test Cases'!$M$2:$M$240,"Not Run")+COUNTIFS('Event Parameters'!$B$2:$B$47,A9,'Event Parameters'!$J$2:$J$47,"Not Run")&gt;0,"Not Run",IF(COUNTIFS('Test Cases'!$B$2:$B$240,A9,'Test Cases'!$M$2:$M$240,"Pass")+COUNTIFS('Event Parameters'!$B$2:$B$47,A9,'Event Parameters'!$J$2:$J$47,"Pass")&gt;0,"Pass","N/A"))))</f>
        <v/>
      </c>
      <c r="G9" s="3" t="inlineStr"/>
    </row>
    <row r="10">
      <c r="A10" s="2" t="inlineStr">
        <is>
          <t>F-009</t>
        </is>
      </c>
      <c r="B10" s="2" t="inlineStr">
        <is>
          <t>Data Ingestion</t>
        </is>
      </c>
      <c r="C10" s="2" t="inlineStr">
        <is>
          <t>Transaction import and ETL</t>
        </is>
      </c>
      <c r="D10" s="2" t="inlineStr">
        <is>
          <t>Import supported exports into correct channels/sectors.</t>
        </is>
      </c>
      <c r="E10" s="2" t="inlineStr">
        <is>
          <t>TC-025, TC-026, TC-027</t>
        </is>
      </c>
      <c r="F10" s="2">
        <f>IF(COUNTIFS('Test Cases'!$B$2:$B$240,A10,'Test Cases'!$M$2:$M$240,"Fail")+COUNTIFS('Event Parameters'!$B$2:$B$47,A10,'Event Parameters'!$J$2:$J$47,"Fail")&gt;0,"Fail",IF(COUNTIFS('Test Cases'!$B$2:$B$240,A10,'Test Cases'!$M$2:$M$240,"Blocked")+COUNTIFS('Event Parameters'!$B$2:$B$47,A10,'Event Parameters'!$J$2:$J$47,"Blocked")&gt;0,"Blocked",IF(COUNTIFS('Test Cases'!$B$2:$B$240,A10,'Test Cases'!$M$2:$M$240,"Not Run")+COUNTIFS('Event Parameters'!$B$2:$B$47,A10,'Event Parameters'!$J$2:$J$47,"Not Run")&gt;0,"Not Run",IF(COUNTIFS('Test Cases'!$B$2:$B$240,A10,'Test Cases'!$M$2:$M$240,"Pass")+COUNTIFS('Event Parameters'!$B$2:$B$47,A10,'Event Parameters'!$J$2:$J$47,"Pass")&gt;0,"Pass","N/A"))))</f>
        <v/>
      </c>
      <c r="G10" s="2" t="inlineStr"/>
    </row>
    <row r="11">
      <c r="A11" s="3" t="inlineStr">
        <is>
          <t>F-010</t>
        </is>
      </c>
      <c r="B11" s="3" t="inlineStr">
        <is>
          <t>Data Ingestion</t>
        </is>
      </c>
      <c r="C11" s="3" t="inlineStr">
        <is>
          <t>Import replacement and deletion</t>
        </is>
      </c>
      <c r="D11" s="3" t="inlineStr">
        <is>
          <t>Maintain intended upload lifecycle without unrelated data loss.</t>
        </is>
      </c>
      <c r="E11" s="3" t="inlineStr">
        <is>
          <t>TC-028, TC-029, TC-030</t>
        </is>
      </c>
      <c r="F11" s="3">
        <f>IF(COUNTIFS('Test Cases'!$B$2:$B$240,A11,'Test Cases'!$M$2:$M$240,"Fail")+COUNTIFS('Event Parameters'!$B$2:$B$47,A11,'Event Parameters'!$J$2:$J$47,"Fail")&gt;0,"Fail",IF(COUNTIFS('Test Cases'!$B$2:$B$240,A11,'Test Cases'!$M$2:$M$240,"Blocked")+COUNTIFS('Event Parameters'!$B$2:$B$47,A11,'Event Parameters'!$J$2:$J$47,"Blocked")&gt;0,"Blocked",IF(COUNTIFS('Test Cases'!$B$2:$B$240,A11,'Test Cases'!$M$2:$M$240,"Not Run")+COUNTIFS('Event Parameters'!$B$2:$B$47,A11,'Event Parameters'!$J$2:$J$47,"Not Run")&gt;0,"Not Run",IF(COUNTIFS('Test Cases'!$B$2:$B$240,A11,'Test Cases'!$M$2:$M$240,"Pass")+COUNTIFS('Event Parameters'!$B$2:$B$47,A11,'Event Parameters'!$J$2:$J$47,"Pass")&gt;0,"Pass","N/A"))))</f>
        <v/>
      </c>
      <c r="G11" s="3" t="inlineStr"/>
    </row>
    <row r="12">
      <c r="A12" s="2" t="inlineStr">
        <is>
          <t>F-011</t>
        </is>
      </c>
      <c r="B12" s="2" t="inlineStr">
        <is>
          <t>Data Ingestion</t>
        </is>
      </c>
      <c r="C12" s="2" t="inlineStr">
        <is>
          <t>PetHub transaction-ingestion exclusion</t>
        </is>
      </c>
      <c r="D12" s="2" t="inlineStr">
        <is>
          <t>Keep PetHub transactions blocked while inventory remains separate.</t>
        </is>
      </c>
      <c r="E12" s="2" t="inlineStr">
        <is>
          <t>TC-031, TC-032, TC-033</t>
        </is>
      </c>
      <c r="F12" s="2">
        <f>IF(COUNTIFS('Test Cases'!$B$2:$B$240,A12,'Test Cases'!$M$2:$M$240,"Fail")+COUNTIFS('Event Parameters'!$B$2:$B$47,A12,'Event Parameters'!$J$2:$J$47,"Fail")&gt;0,"Fail",IF(COUNTIFS('Test Cases'!$B$2:$B$240,A12,'Test Cases'!$M$2:$M$240,"Blocked")+COUNTIFS('Event Parameters'!$B$2:$B$47,A12,'Event Parameters'!$J$2:$J$47,"Blocked")&gt;0,"Blocked",IF(COUNTIFS('Test Cases'!$B$2:$B$240,A12,'Test Cases'!$M$2:$M$240,"Not Run")+COUNTIFS('Event Parameters'!$B$2:$B$47,A12,'Event Parameters'!$J$2:$J$47,"Not Run")&gt;0,"Not Run",IF(COUNTIFS('Test Cases'!$B$2:$B$240,A12,'Test Cases'!$M$2:$M$240,"Pass")+COUNTIFS('Event Parameters'!$B$2:$B$47,A12,'Event Parameters'!$J$2:$J$47,"Pass")&gt;0,"Pass","N/A"))))</f>
        <v/>
      </c>
      <c r="G12" s="2" t="inlineStr"/>
    </row>
    <row r="13">
      <c r="A13" s="3" t="inlineStr">
        <is>
          <t>F-012</t>
        </is>
      </c>
      <c r="B13" s="3" t="inlineStr">
        <is>
          <t>Home</t>
        </is>
      </c>
      <c r="C13" s="3" t="inlineStr">
        <is>
          <t>Omnichannel KPI analytics</t>
        </is>
      </c>
      <c r="D13" s="3" t="inlineStr">
        <is>
          <t>Report accurate total revenue, orders and AOV.</t>
        </is>
      </c>
      <c r="E13" s="3" t="inlineStr">
        <is>
          <t>TC-034, TC-035, TC-036</t>
        </is>
      </c>
      <c r="F13" s="3">
        <f>IF(COUNTIFS('Test Cases'!$B$2:$B$240,A13,'Test Cases'!$M$2:$M$240,"Fail")+COUNTIFS('Event Parameters'!$B$2:$B$47,A13,'Event Parameters'!$J$2:$J$47,"Fail")&gt;0,"Fail",IF(COUNTIFS('Test Cases'!$B$2:$B$240,A13,'Test Cases'!$M$2:$M$240,"Blocked")+COUNTIFS('Event Parameters'!$B$2:$B$47,A13,'Event Parameters'!$J$2:$J$47,"Blocked")&gt;0,"Blocked",IF(COUNTIFS('Test Cases'!$B$2:$B$240,A13,'Test Cases'!$M$2:$M$240,"Not Run")+COUNTIFS('Event Parameters'!$B$2:$B$47,A13,'Event Parameters'!$J$2:$J$47,"Not Run")&gt;0,"Not Run",IF(COUNTIFS('Test Cases'!$B$2:$B$240,A13,'Test Cases'!$M$2:$M$240,"Pass")+COUNTIFS('Event Parameters'!$B$2:$B$47,A13,'Event Parameters'!$J$2:$J$47,"Pass")&gt;0,"Pass","N/A"))))</f>
        <v/>
      </c>
      <c r="G13" s="3" t="inlineStr"/>
    </row>
    <row r="14">
      <c r="A14" s="2" t="inlineStr">
        <is>
          <t>F-013</t>
        </is>
      </c>
      <c r="B14" s="2" t="inlineStr">
        <is>
          <t>Home</t>
        </is>
      </c>
      <c r="C14" s="2" t="inlineStr">
        <is>
          <t>Revenue composition and channel exploration</t>
        </is>
      </c>
      <c r="D14" s="2" t="inlineStr">
        <is>
          <t>Explore sectors/channels without double-counting sales.</t>
        </is>
      </c>
      <c r="E14" s="2" t="inlineStr">
        <is>
          <t>TC-037, TC-038, TC-039</t>
        </is>
      </c>
      <c r="F14" s="2">
        <f>IF(COUNTIFS('Test Cases'!$B$2:$B$240,A14,'Test Cases'!$M$2:$M$240,"Fail")+COUNTIFS('Event Parameters'!$B$2:$B$47,A14,'Event Parameters'!$J$2:$J$47,"Fail")&gt;0,"Fail",IF(COUNTIFS('Test Cases'!$B$2:$B$240,A14,'Test Cases'!$M$2:$M$240,"Blocked")+COUNTIFS('Event Parameters'!$B$2:$B$47,A14,'Event Parameters'!$J$2:$J$47,"Blocked")&gt;0,"Blocked",IF(COUNTIFS('Test Cases'!$B$2:$B$240,A14,'Test Cases'!$M$2:$M$240,"Not Run")+COUNTIFS('Event Parameters'!$B$2:$B$47,A14,'Event Parameters'!$J$2:$J$47,"Not Run")&gt;0,"Not Run",IF(COUNTIFS('Test Cases'!$B$2:$B$240,A14,'Test Cases'!$M$2:$M$240,"Pass")+COUNTIFS('Event Parameters'!$B$2:$B$47,A14,'Event Parameters'!$J$2:$J$47,"Pass")&gt;0,"Pass","N/A"))))</f>
        <v/>
      </c>
      <c r="G14" s="2" t="inlineStr"/>
    </row>
    <row r="15">
      <c r="A15" s="3" t="inlineStr">
        <is>
          <t>F-014</t>
        </is>
      </c>
      <c r="B15" s="3" t="inlineStr">
        <is>
          <t>Home</t>
        </is>
      </c>
      <c r="C15" s="3" t="inlineStr">
        <is>
          <t>Demand heatmap</t>
        </is>
      </c>
      <c r="D15" s="3" t="inlineStr">
        <is>
          <t>Display interpretable forecast by sector/day/hour.</t>
        </is>
      </c>
      <c r="E15" s="3" t="inlineStr">
        <is>
          <t>TC-040, TC-041, TC-042</t>
        </is>
      </c>
      <c r="F15" s="3">
        <f>IF(COUNTIFS('Test Cases'!$B$2:$B$240,A15,'Test Cases'!$M$2:$M$240,"Fail")+COUNTIFS('Event Parameters'!$B$2:$B$47,A15,'Event Parameters'!$J$2:$J$47,"Fail")&gt;0,"Fail",IF(COUNTIFS('Test Cases'!$B$2:$B$240,A15,'Test Cases'!$M$2:$M$240,"Blocked")+COUNTIFS('Event Parameters'!$B$2:$B$47,A15,'Event Parameters'!$J$2:$J$47,"Blocked")&gt;0,"Blocked",IF(COUNTIFS('Test Cases'!$B$2:$B$240,A15,'Test Cases'!$M$2:$M$240,"Not Run")+COUNTIFS('Event Parameters'!$B$2:$B$47,A15,'Event Parameters'!$J$2:$J$47,"Not Run")&gt;0,"Not Run",IF(COUNTIFS('Test Cases'!$B$2:$B$240,A15,'Test Cases'!$M$2:$M$240,"Pass")+COUNTIFS('Event Parameters'!$B$2:$B$47,A15,'Event Parameters'!$J$2:$J$47,"Pass")&gt;0,"Pass","N/A"))))</f>
        <v/>
      </c>
      <c r="G15" s="3" t="inlineStr"/>
    </row>
    <row r="16">
      <c r="A16" s="2" t="inlineStr">
        <is>
          <t>F-015</t>
        </is>
      </c>
      <c r="B16" s="2" t="inlineStr">
        <is>
          <t>Home</t>
        </is>
      </c>
      <c r="C16" s="2" t="inlineStr">
        <is>
          <t>AI recommendation review</t>
        </is>
      </c>
      <c r="D16" s="2" t="inlineStr">
        <is>
          <t>Explain and accept/dismiss actual recommendations.</t>
        </is>
      </c>
      <c r="E16" s="2" t="inlineStr">
        <is>
          <t>TC-043, TC-044, TC-045</t>
        </is>
      </c>
      <c r="F16" s="2">
        <f>IF(COUNTIFS('Test Cases'!$B$2:$B$240,A16,'Test Cases'!$M$2:$M$240,"Fail")+COUNTIFS('Event Parameters'!$B$2:$B$47,A16,'Event Parameters'!$J$2:$J$47,"Fail")&gt;0,"Fail",IF(COUNTIFS('Test Cases'!$B$2:$B$240,A16,'Test Cases'!$M$2:$M$240,"Blocked")+COUNTIFS('Event Parameters'!$B$2:$B$47,A16,'Event Parameters'!$J$2:$J$47,"Blocked")&gt;0,"Blocked",IF(COUNTIFS('Test Cases'!$B$2:$B$240,A16,'Test Cases'!$M$2:$M$240,"Not Run")+COUNTIFS('Event Parameters'!$B$2:$B$47,A16,'Event Parameters'!$J$2:$J$47,"Not Run")&gt;0,"Not Run",IF(COUNTIFS('Test Cases'!$B$2:$B$240,A16,'Test Cases'!$M$2:$M$240,"Pass")+COUNTIFS('Event Parameters'!$B$2:$B$47,A16,'Event Parameters'!$J$2:$J$47,"Pass")&gt;0,"Pass","N/A"))))</f>
        <v/>
      </c>
      <c r="G16" s="2" t="inlineStr"/>
    </row>
    <row r="17">
      <c r="A17" s="3" t="inlineStr">
        <is>
          <t>F-016</t>
        </is>
      </c>
      <c r="B17" s="3" t="inlineStr">
        <is>
          <t>Cafe</t>
        </is>
      </c>
      <c r="C17" s="3" t="inlineStr">
        <is>
          <t>Sector performance and drilldowns</t>
        </is>
      </c>
      <c r="D17" s="3" t="inlineStr">
        <is>
          <t>Report correct Cafe sales and order/bookings performance.</t>
        </is>
      </c>
      <c r="E17" s="3" t="inlineStr">
        <is>
          <t>TC-046, TC-047, TC-048</t>
        </is>
      </c>
      <c r="F17" s="3">
        <f>IF(COUNTIFS('Test Cases'!$B$2:$B$240,A17,'Test Cases'!$M$2:$M$240,"Fail")+COUNTIFS('Event Parameters'!$B$2:$B$47,A17,'Event Parameters'!$J$2:$J$47,"Fail")&gt;0,"Fail",IF(COUNTIFS('Test Cases'!$B$2:$B$240,A17,'Test Cases'!$M$2:$M$240,"Blocked")+COUNTIFS('Event Parameters'!$B$2:$B$47,A17,'Event Parameters'!$J$2:$J$47,"Blocked")&gt;0,"Blocked",IF(COUNTIFS('Test Cases'!$B$2:$B$240,A17,'Test Cases'!$M$2:$M$240,"Not Run")+COUNTIFS('Event Parameters'!$B$2:$B$47,A17,'Event Parameters'!$J$2:$J$47,"Not Run")&gt;0,"Not Run",IF(COUNTIFS('Test Cases'!$B$2:$B$240,A17,'Test Cases'!$M$2:$M$240,"Pass")+COUNTIFS('Event Parameters'!$B$2:$B$47,A17,'Event Parameters'!$J$2:$J$47,"Pass")&gt;0,"Pass","N/A"))))</f>
        <v/>
      </c>
      <c r="G17" s="3" t="inlineStr"/>
    </row>
    <row r="18">
      <c r="A18" s="2" t="inlineStr">
        <is>
          <t>F-017</t>
        </is>
      </c>
      <c r="B18" s="2" t="inlineStr">
        <is>
          <t>Cafe</t>
        </is>
      </c>
      <c r="C18" s="2" t="inlineStr">
        <is>
          <t>Forecast visualization and diagnostics</t>
        </is>
      </c>
      <c r="D18" s="2" t="inlineStr">
        <is>
          <t>View and assess available Cafe forecast/backtest outputs.</t>
        </is>
      </c>
      <c r="E18" s="2" t="inlineStr">
        <is>
          <t>TC-049, TC-050, TC-051</t>
        </is>
      </c>
      <c r="F18" s="2">
        <f>IF(COUNTIFS('Test Cases'!$B$2:$B$240,A18,'Test Cases'!$M$2:$M$240,"Fail")+COUNTIFS('Event Parameters'!$B$2:$B$47,A18,'Event Parameters'!$J$2:$J$47,"Fail")&gt;0,"Fail",IF(COUNTIFS('Test Cases'!$B$2:$B$240,A18,'Test Cases'!$M$2:$M$240,"Blocked")+COUNTIFS('Event Parameters'!$B$2:$B$47,A18,'Event Parameters'!$J$2:$J$47,"Blocked")&gt;0,"Blocked",IF(COUNTIFS('Test Cases'!$B$2:$B$240,A18,'Test Cases'!$M$2:$M$240,"Not Run")+COUNTIFS('Event Parameters'!$B$2:$B$47,A18,'Event Parameters'!$J$2:$J$47,"Not Run")&gt;0,"Not Run",IF(COUNTIFS('Test Cases'!$B$2:$B$240,A18,'Test Cases'!$M$2:$M$240,"Pass")+COUNTIFS('Event Parameters'!$B$2:$B$47,A18,'Event Parameters'!$J$2:$J$47,"Pass")&gt;0,"Pass","N/A"))))</f>
        <v/>
      </c>
      <c r="G18" s="2" t="inlineStr"/>
    </row>
    <row r="19">
      <c r="A19" s="3" t="inlineStr">
        <is>
          <t>F-018</t>
        </is>
      </c>
      <c r="B19" s="3" t="inlineStr">
        <is>
          <t>Cafe</t>
        </is>
      </c>
      <c r="C19" s="3" t="inlineStr">
        <is>
          <t>Weather and calendar What-If forecast</t>
        </is>
      </c>
      <c r="D19" s="3" t="inlineStr">
        <is>
          <t>Model Cafe scenario assumptions without changing observed data.</t>
        </is>
      </c>
      <c r="E19" s="3" t="inlineStr">
        <is>
          <t>TC-052, TC-053, TC-054</t>
        </is>
      </c>
      <c r="F19" s="3">
        <f>IF(COUNTIFS('Test Cases'!$B$2:$B$240,A19,'Test Cases'!$M$2:$M$240,"Fail")+COUNTIFS('Event Parameters'!$B$2:$B$47,A19,'Event Parameters'!$J$2:$J$47,"Fail")&gt;0,"Fail",IF(COUNTIFS('Test Cases'!$B$2:$B$240,A19,'Test Cases'!$M$2:$M$240,"Blocked")+COUNTIFS('Event Parameters'!$B$2:$B$47,A19,'Event Parameters'!$J$2:$J$47,"Blocked")&gt;0,"Blocked",IF(COUNTIFS('Test Cases'!$B$2:$B$240,A19,'Test Cases'!$M$2:$M$240,"Not Run")+COUNTIFS('Event Parameters'!$B$2:$B$47,A19,'Event Parameters'!$J$2:$J$47,"Not Run")&gt;0,"Not Run",IF(COUNTIFS('Test Cases'!$B$2:$B$240,A19,'Test Cases'!$M$2:$M$240,"Pass")+COUNTIFS('Event Parameters'!$B$2:$B$47,A19,'Event Parameters'!$J$2:$J$47,"Pass")&gt;0,"Pass","N/A"))))</f>
        <v/>
      </c>
      <c r="G19" s="3" t="inlineStr"/>
    </row>
    <row r="20">
      <c r="A20" s="2" t="inlineStr">
        <is>
          <t>F-019</t>
        </is>
      </c>
      <c r="B20" s="2" t="inlineStr">
        <is>
          <t>Cafe</t>
        </is>
      </c>
      <c r="C20" s="2" t="inlineStr">
        <is>
          <t>Model retraining</t>
        </is>
      </c>
      <c r="D20" s="2" t="inlineStr">
        <is>
          <t>Refresh eligible Cafe model with real completion status.</t>
        </is>
      </c>
      <c r="E20" s="2" t="inlineStr">
        <is>
          <t>TC-055, TC-056, TC-057</t>
        </is>
      </c>
      <c r="F20" s="2">
        <f>IF(COUNTIFS('Test Cases'!$B$2:$B$240,A20,'Test Cases'!$M$2:$M$240,"Fail")+COUNTIFS('Event Parameters'!$B$2:$B$47,A20,'Event Parameters'!$J$2:$J$47,"Fail")&gt;0,"Fail",IF(COUNTIFS('Test Cases'!$B$2:$B$240,A20,'Test Cases'!$M$2:$M$240,"Blocked")+COUNTIFS('Event Parameters'!$B$2:$B$47,A20,'Event Parameters'!$J$2:$J$47,"Blocked")&gt;0,"Blocked",IF(COUNTIFS('Test Cases'!$B$2:$B$240,A20,'Test Cases'!$M$2:$M$240,"Not Run")+COUNTIFS('Event Parameters'!$B$2:$B$47,A20,'Event Parameters'!$J$2:$J$47,"Not Run")&gt;0,"Not Run",IF(COUNTIFS('Test Cases'!$B$2:$B$240,A20,'Test Cases'!$M$2:$M$240,"Pass")+COUNTIFS('Event Parameters'!$B$2:$B$47,A20,'Event Parameters'!$J$2:$J$47,"Pass")&gt;0,"Pass","N/A"))))</f>
        <v/>
      </c>
      <c r="G20" s="2" t="inlineStr"/>
    </row>
    <row r="21">
      <c r="A21" s="3" t="inlineStr">
        <is>
          <t>F-020</t>
        </is>
      </c>
      <c r="B21" s="3" t="inlineStr">
        <is>
          <t>Services</t>
        </is>
      </c>
      <c r="C21" s="3" t="inlineStr">
        <is>
          <t>Sector performance and drilldowns</t>
        </is>
      </c>
      <c r="D21" s="3" t="inlineStr">
        <is>
          <t>Report correct Services sales and order/bookings performance.</t>
        </is>
      </c>
      <c r="E21" s="3" t="inlineStr">
        <is>
          <t>TC-058, TC-059, TC-060</t>
        </is>
      </c>
      <c r="F21" s="3">
        <f>IF(COUNTIFS('Test Cases'!$B$2:$B$240,A21,'Test Cases'!$M$2:$M$240,"Fail")+COUNTIFS('Event Parameters'!$B$2:$B$47,A21,'Event Parameters'!$J$2:$J$47,"Fail")&gt;0,"Fail",IF(COUNTIFS('Test Cases'!$B$2:$B$240,A21,'Test Cases'!$M$2:$M$240,"Blocked")+COUNTIFS('Event Parameters'!$B$2:$B$47,A21,'Event Parameters'!$J$2:$J$47,"Blocked")&gt;0,"Blocked",IF(COUNTIFS('Test Cases'!$B$2:$B$240,A21,'Test Cases'!$M$2:$M$240,"Not Run")+COUNTIFS('Event Parameters'!$B$2:$B$47,A21,'Event Parameters'!$J$2:$J$47,"Not Run")&gt;0,"Not Run",IF(COUNTIFS('Test Cases'!$B$2:$B$240,A21,'Test Cases'!$M$2:$M$240,"Pass")+COUNTIFS('Event Parameters'!$B$2:$B$47,A21,'Event Parameters'!$J$2:$J$47,"Pass")&gt;0,"Pass","N/A"))))</f>
        <v/>
      </c>
      <c r="G21" s="3" t="inlineStr"/>
    </row>
    <row r="22">
      <c r="A22" s="2" t="inlineStr">
        <is>
          <t>F-021</t>
        </is>
      </c>
      <c r="B22" s="2" t="inlineStr">
        <is>
          <t>Services</t>
        </is>
      </c>
      <c r="C22" s="2" t="inlineStr">
        <is>
          <t>Forecast visualization and diagnostics</t>
        </is>
      </c>
      <c r="D22" s="2" t="inlineStr">
        <is>
          <t>View and assess available Services forecast/backtest outputs.</t>
        </is>
      </c>
      <c r="E22" s="2" t="inlineStr">
        <is>
          <t>TC-061, TC-062, TC-063</t>
        </is>
      </c>
      <c r="F22" s="2">
        <f>IF(COUNTIFS('Test Cases'!$B$2:$B$240,A22,'Test Cases'!$M$2:$M$240,"Fail")+COUNTIFS('Event Parameters'!$B$2:$B$47,A22,'Event Parameters'!$J$2:$J$47,"Fail")&gt;0,"Fail",IF(COUNTIFS('Test Cases'!$B$2:$B$240,A22,'Test Cases'!$M$2:$M$240,"Blocked")+COUNTIFS('Event Parameters'!$B$2:$B$47,A22,'Event Parameters'!$J$2:$J$47,"Blocked")&gt;0,"Blocked",IF(COUNTIFS('Test Cases'!$B$2:$B$240,A22,'Test Cases'!$M$2:$M$240,"Not Run")+COUNTIFS('Event Parameters'!$B$2:$B$47,A22,'Event Parameters'!$J$2:$J$47,"Not Run")&gt;0,"Not Run",IF(COUNTIFS('Test Cases'!$B$2:$B$240,A22,'Test Cases'!$M$2:$M$240,"Pass")+COUNTIFS('Event Parameters'!$B$2:$B$47,A22,'Event Parameters'!$J$2:$J$47,"Pass")&gt;0,"Pass","N/A"))))</f>
        <v/>
      </c>
      <c r="G22" s="2" t="inlineStr"/>
    </row>
    <row r="23">
      <c r="A23" s="3" t="inlineStr">
        <is>
          <t>F-022</t>
        </is>
      </c>
      <c r="B23" s="3" t="inlineStr">
        <is>
          <t>Services</t>
        </is>
      </c>
      <c r="C23" s="3" t="inlineStr">
        <is>
          <t>Weather and calendar What-If forecast</t>
        </is>
      </c>
      <c r="D23" s="3" t="inlineStr">
        <is>
          <t>Model Services scenario assumptions without changing observed data.</t>
        </is>
      </c>
      <c r="E23" s="3" t="inlineStr">
        <is>
          <t>TC-064, TC-065, TC-066</t>
        </is>
      </c>
      <c r="F23" s="3">
        <f>IF(COUNTIFS('Test Cases'!$B$2:$B$240,A23,'Test Cases'!$M$2:$M$240,"Fail")+COUNTIFS('Event Parameters'!$B$2:$B$47,A23,'Event Parameters'!$J$2:$J$47,"Fail")&gt;0,"Fail",IF(COUNTIFS('Test Cases'!$B$2:$B$240,A23,'Test Cases'!$M$2:$M$240,"Blocked")+COUNTIFS('Event Parameters'!$B$2:$B$47,A23,'Event Parameters'!$J$2:$J$47,"Blocked")&gt;0,"Blocked",IF(COUNTIFS('Test Cases'!$B$2:$B$240,A23,'Test Cases'!$M$2:$M$240,"Not Run")+COUNTIFS('Event Parameters'!$B$2:$B$47,A23,'Event Parameters'!$J$2:$J$47,"Not Run")&gt;0,"Not Run",IF(COUNTIFS('Test Cases'!$B$2:$B$240,A23,'Test Cases'!$M$2:$M$240,"Pass")+COUNTIFS('Event Parameters'!$B$2:$B$47,A23,'Event Parameters'!$J$2:$J$47,"Pass")&gt;0,"Pass","N/A"))))</f>
        <v/>
      </c>
      <c r="G23" s="3" t="inlineStr"/>
    </row>
    <row r="24">
      <c r="A24" s="2" t="inlineStr">
        <is>
          <t>F-023</t>
        </is>
      </c>
      <c r="B24" s="2" t="inlineStr">
        <is>
          <t>Services</t>
        </is>
      </c>
      <c r="C24" s="2" t="inlineStr">
        <is>
          <t>Model retraining</t>
        </is>
      </c>
      <c r="D24" s="2" t="inlineStr">
        <is>
          <t>Refresh eligible Services model with real completion status.</t>
        </is>
      </c>
      <c r="E24" s="2" t="inlineStr">
        <is>
          <t>TC-067, TC-068, TC-069</t>
        </is>
      </c>
      <c r="F24" s="2">
        <f>IF(COUNTIFS('Test Cases'!$B$2:$B$240,A24,'Test Cases'!$M$2:$M$240,"Fail")+COUNTIFS('Event Parameters'!$B$2:$B$47,A24,'Event Parameters'!$J$2:$J$47,"Fail")&gt;0,"Fail",IF(COUNTIFS('Test Cases'!$B$2:$B$240,A24,'Test Cases'!$M$2:$M$240,"Blocked")+COUNTIFS('Event Parameters'!$B$2:$B$47,A24,'Event Parameters'!$J$2:$J$47,"Blocked")&gt;0,"Blocked",IF(COUNTIFS('Test Cases'!$B$2:$B$240,A24,'Test Cases'!$M$2:$M$240,"Not Run")+COUNTIFS('Event Parameters'!$B$2:$B$47,A24,'Event Parameters'!$J$2:$J$47,"Not Run")&gt;0,"Not Run",IF(COUNTIFS('Test Cases'!$B$2:$B$240,A24,'Test Cases'!$M$2:$M$240,"Pass")+COUNTIFS('Event Parameters'!$B$2:$B$47,A24,'Event Parameters'!$J$2:$J$47,"Pass")&gt;0,"Pass","N/A"))))</f>
        <v/>
      </c>
      <c r="G24" s="2" t="inlineStr"/>
    </row>
    <row r="25">
      <c r="A25" s="3" t="inlineStr">
        <is>
          <t>F-024</t>
        </is>
      </c>
      <c r="B25" s="3" t="inlineStr">
        <is>
          <t>Cafe</t>
        </is>
      </c>
      <c r="C25" s="3" t="inlineStr">
        <is>
          <t>Basket co-attachment and category analysis</t>
        </is>
      </c>
      <c r="D25" s="3" t="inlineStr">
        <is>
          <t>Analyze human/pet/dual receipts and category contribution.</t>
        </is>
      </c>
      <c r="E25" s="3" t="inlineStr">
        <is>
          <t>TC-070, TC-071, TC-072</t>
        </is>
      </c>
      <c r="F25" s="3">
        <f>IF(COUNTIFS('Test Cases'!$B$2:$B$240,A25,'Test Cases'!$M$2:$M$240,"Fail")+COUNTIFS('Event Parameters'!$B$2:$B$47,A25,'Event Parameters'!$J$2:$J$47,"Fail")&gt;0,"Fail",IF(COUNTIFS('Test Cases'!$B$2:$B$240,A25,'Test Cases'!$M$2:$M$240,"Blocked")+COUNTIFS('Event Parameters'!$B$2:$B$47,A25,'Event Parameters'!$J$2:$J$47,"Blocked")&gt;0,"Blocked",IF(COUNTIFS('Test Cases'!$B$2:$B$240,A25,'Test Cases'!$M$2:$M$240,"Not Run")+COUNTIFS('Event Parameters'!$B$2:$B$47,A25,'Event Parameters'!$J$2:$J$47,"Not Run")&gt;0,"Not Run",IF(COUNTIFS('Test Cases'!$B$2:$B$240,A25,'Test Cases'!$M$2:$M$240,"Pass")+COUNTIFS('Event Parameters'!$B$2:$B$47,A25,'Event Parameters'!$J$2:$J$47,"Pass")&gt;0,"Pass","N/A"))))</f>
        <v/>
      </c>
      <c r="G25" s="3" t="inlineStr"/>
    </row>
    <row r="26">
      <c r="A26" s="2" t="inlineStr">
        <is>
          <t>F-025</t>
        </is>
      </c>
      <c r="B26" s="2" t="inlineStr">
        <is>
          <t>Cafe</t>
        </is>
      </c>
      <c r="C26" s="2" t="inlineStr">
        <is>
          <t>Menu-item performance and bundle handoff</t>
        </is>
      </c>
      <c r="D26" s="2" t="inlineStr">
        <is>
          <t>Explore menu results and promote selected item into bundle workflow.</t>
        </is>
      </c>
      <c r="E26" s="2" t="inlineStr">
        <is>
          <t>TC-073, TC-074, TC-075</t>
        </is>
      </c>
      <c r="F26" s="2">
        <f>IF(COUNTIFS('Test Cases'!$B$2:$B$240,A26,'Test Cases'!$M$2:$M$240,"Fail")+COUNTIFS('Event Parameters'!$B$2:$B$47,A26,'Event Parameters'!$J$2:$J$47,"Fail")&gt;0,"Fail",IF(COUNTIFS('Test Cases'!$B$2:$B$240,A26,'Test Cases'!$M$2:$M$240,"Blocked")+COUNTIFS('Event Parameters'!$B$2:$B$47,A26,'Event Parameters'!$J$2:$J$47,"Blocked")&gt;0,"Blocked",IF(COUNTIFS('Test Cases'!$B$2:$B$240,A26,'Test Cases'!$M$2:$M$240,"Not Run")+COUNTIFS('Event Parameters'!$B$2:$B$47,A26,'Event Parameters'!$J$2:$J$47,"Not Run")&gt;0,"Not Run",IF(COUNTIFS('Test Cases'!$B$2:$B$240,A26,'Test Cases'!$M$2:$M$240,"Pass")+COUNTIFS('Event Parameters'!$B$2:$B$47,A26,'Event Parameters'!$J$2:$J$47,"Pass")&gt;0,"Pass","N/A"))))</f>
        <v/>
      </c>
      <c r="G26" s="2" t="inlineStr"/>
    </row>
    <row r="27">
      <c r="A27" s="3" t="inlineStr">
        <is>
          <t>F-026</t>
        </is>
      </c>
      <c r="B27" s="3" t="inlineStr">
        <is>
          <t>Cafe</t>
        </is>
      </c>
      <c r="C27" s="3" t="inlineStr">
        <is>
          <t>Happy Hour recommendation activation</t>
        </is>
      </c>
      <c r="D27" s="3" t="inlineStr">
        <is>
          <t>Apply and evaluate eligible quiet-period promotions.</t>
        </is>
      </c>
      <c r="E27" s="3" t="inlineStr">
        <is>
          <t>TC-076, TC-077, TC-078</t>
        </is>
      </c>
      <c r="F27" s="3">
        <f>IF(COUNTIFS('Test Cases'!$B$2:$B$240,A27,'Test Cases'!$M$2:$M$240,"Fail")+COUNTIFS('Event Parameters'!$B$2:$B$47,A27,'Event Parameters'!$J$2:$J$47,"Fail")&gt;0,"Fail",IF(COUNTIFS('Test Cases'!$B$2:$B$240,A27,'Test Cases'!$M$2:$M$240,"Blocked")+COUNTIFS('Event Parameters'!$B$2:$B$47,A27,'Event Parameters'!$J$2:$J$47,"Blocked")&gt;0,"Blocked",IF(COUNTIFS('Test Cases'!$B$2:$B$240,A27,'Test Cases'!$M$2:$M$240,"Not Run")+COUNTIFS('Event Parameters'!$B$2:$B$47,A27,'Event Parameters'!$J$2:$J$47,"Not Run")&gt;0,"Not Run",IF(COUNTIFS('Test Cases'!$B$2:$B$240,A27,'Test Cases'!$M$2:$M$240,"Pass")+COUNTIFS('Event Parameters'!$B$2:$B$47,A27,'Event Parameters'!$J$2:$J$47,"Pass")&gt;0,"Pass","N/A"))))</f>
        <v/>
      </c>
      <c r="G27" s="3" t="inlineStr"/>
    </row>
    <row r="28">
      <c r="A28" s="2" t="inlineStr">
        <is>
          <t>F-027</t>
        </is>
      </c>
      <c r="B28" s="2" t="inlineStr">
        <is>
          <t>Services</t>
        </is>
      </c>
      <c r="C28" s="2" t="inlineStr">
        <is>
          <t>Service demand ranking and subservice detail</t>
        </is>
      </c>
      <c r="D28" s="2" t="inlineStr">
        <is>
          <t>Explore service mix and correctly scoped details.</t>
        </is>
      </c>
      <c r="E28" s="2" t="inlineStr">
        <is>
          <t>TC-079, TC-080, TC-081</t>
        </is>
      </c>
      <c r="F28" s="2">
        <f>IF(COUNTIFS('Test Cases'!$B$2:$B$240,A28,'Test Cases'!$M$2:$M$240,"Fail")+COUNTIFS('Event Parameters'!$B$2:$B$47,A28,'Event Parameters'!$J$2:$J$47,"Fail")&gt;0,"Fail",IF(COUNTIFS('Test Cases'!$B$2:$B$240,A28,'Test Cases'!$M$2:$M$240,"Blocked")+COUNTIFS('Event Parameters'!$B$2:$B$47,A28,'Event Parameters'!$J$2:$J$47,"Blocked")&gt;0,"Blocked",IF(COUNTIFS('Test Cases'!$B$2:$B$240,A28,'Test Cases'!$M$2:$M$240,"Not Run")+COUNTIFS('Event Parameters'!$B$2:$B$47,A28,'Event Parameters'!$J$2:$J$47,"Not Run")&gt;0,"Not Run",IF(COUNTIFS('Test Cases'!$B$2:$B$240,A28,'Test Cases'!$M$2:$M$240,"Pass")+COUNTIFS('Event Parameters'!$B$2:$B$47,A28,'Event Parameters'!$J$2:$J$47,"Pass")&gt;0,"Pass","N/A"))))</f>
        <v/>
      </c>
      <c r="G28" s="2" t="inlineStr"/>
    </row>
    <row r="29">
      <c r="A29" s="3" t="inlineStr">
        <is>
          <t>F-028</t>
        </is>
      </c>
      <c r="B29" s="3" t="inlineStr">
        <is>
          <t>Services</t>
        </is>
      </c>
      <c r="C29" s="3" t="inlineStr">
        <is>
          <t>Service capacity-alert response</t>
        </is>
      </c>
      <c r="D29" s="3" t="inlineStr">
        <is>
          <t>Act on genuine service operational alerts.</t>
        </is>
      </c>
      <c r="E29" s="3" t="inlineStr">
        <is>
          <t>TC-082, TC-083, TC-084</t>
        </is>
      </c>
      <c r="F29" s="3">
        <f>IF(COUNTIFS('Test Cases'!$B$2:$B$240,A29,'Test Cases'!$M$2:$M$240,"Fail")+COUNTIFS('Event Parameters'!$B$2:$B$47,A29,'Event Parameters'!$J$2:$J$47,"Fail")&gt;0,"Fail",IF(COUNTIFS('Test Cases'!$B$2:$B$240,A29,'Test Cases'!$M$2:$M$240,"Blocked")+COUNTIFS('Event Parameters'!$B$2:$B$47,A29,'Event Parameters'!$J$2:$J$47,"Blocked")&gt;0,"Blocked",IF(COUNTIFS('Test Cases'!$B$2:$B$240,A29,'Test Cases'!$M$2:$M$240,"Not Run")+COUNTIFS('Event Parameters'!$B$2:$B$47,A29,'Event Parameters'!$J$2:$J$47,"Not Run")&gt;0,"Not Run",IF(COUNTIFS('Test Cases'!$B$2:$B$240,A29,'Test Cases'!$M$2:$M$240,"Pass")+COUNTIFS('Event Parameters'!$B$2:$B$47,A29,'Event Parameters'!$J$2:$J$47,"Pass")&gt;0,"Pass","N/A"))))</f>
        <v/>
      </c>
      <c r="G29" s="3" t="inlineStr"/>
    </row>
    <row r="30">
      <c r="A30" s="2" t="inlineStr">
        <is>
          <t>F-029</t>
        </is>
      </c>
      <c r="B30" s="2" t="inlineStr">
        <is>
          <t>Retail</t>
        </is>
      </c>
      <c r="C30" s="2" t="inlineStr">
        <is>
          <t>Retail sales and channel economics</t>
        </is>
      </c>
      <c r="D30" s="2" t="inlineStr">
        <is>
          <t>Analyze channels and recorded platform deductions accurately.</t>
        </is>
      </c>
      <c r="E30" s="2" t="inlineStr">
        <is>
          <t>TC-085, TC-086, TC-087</t>
        </is>
      </c>
      <c r="F30" s="2">
        <f>IF(COUNTIFS('Test Cases'!$B$2:$B$240,A30,'Test Cases'!$M$2:$M$240,"Fail")+COUNTIFS('Event Parameters'!$B$2:$B$47,A30,'Event Parameters'!$J$2:$J$47,"Fail")&gt;0,"Fail",IF(COUNTIFS('Test Cases'!$B$2:$B$240,A30,'Test Cases'!$M$2:$M$240,"Blocked")+COUNTIFS('Event Parameters'!$B$2:$B$47,A30,'Event Parameters'!$J$2:$J$47,"Blocked")&gt;0,"Blocked",IF(COUNTIFS('Test Cases'!$B$2:$B$240,A30,'Test Cases'!$M$2:$M$240,"Not Run")+COUNTIFS('Event Parameters'!$B$2:$B$47,A30,'Event Parameters'!$J$2:$J$47,"Not Run")&gt;0,"Not Run",IF(COUNTIFS('Test Cases'!$B$2:$B$240,A30,'Test Cases'!$M$2:$M$240,"Pass")+COUNTIFS('Event Parameters'!$B$2:$B$47,A30,'Event Parameters'!$J$2:$J$47,"Pass")&gt;0,"Pass","N/A"))))</f>
        <v/>
      </c>
      <c r="G30" s="2" t="inlineStr"/>
    </row>
    <row r="31">
      <c r="A31" s="3" t="inlineStr">
        <is>
          <t>F-030</t>
        </is>
      </c>
      <c r="B31" s="3" t="inlineStr">
        <is>
          <t>Inventory Monitor</t>
        </is>
      </c>
      <c r="C31" s="3" t="inlineStr">
        <is>
          <t>Read-only current inventory synchronization</t>
        </is>
      </c>
      <c r="D31" s="3" t="inlineStr">
        <is>
          <t>Display actual PetHub retail stock independently of historical sales.</t>
        </is>
      </c>
      <c r="E31" s="3" t="inlineStr">
        <is>
          <t>TC-088, TC-089, TC-090</t>
        </is>
      </c>
      <c r="F31" s="3">
        <f>IF(COUNTIFS('Test Cases'!$B$2:$B$240,A31,'Test Cases'!$M$2:$M$240,"Fail")+COUNTIFS('Event Parameters'!$B$2:$B$47,A31,'Event Parameters'!$J$2:$J$47,"Fail")&gt;0,"Fail",IF(COUNTIFS('Test Cases'!$B$2:$B$240,A31,'Test Cases'!$M$2:$M$240,"Blocked")+COUNTIFS('Event Parameters'!$B$2:$B$47,A31,'Event Parameters'!$J$2:$J$47,"Blocked")&gt;0,"Blocked",IF(COUNTIFS('Test Cases'!$B$2:$B$240,A31,'Test Cases'!$M$2:$M$240,"Not Run")+COUNTIFS('Event Parameters'!$B$2:$B$47,A31,'Event Parameters'!$J$2:$J$47,"Not Run")&gt;0,"Not Run",IF(COUNTIFS('Test Cases'!$B$2:$B$240,A31,'Test Cases'!$M$2:$M$240,"Pass")+COUNTIFS('Event Parameters'!$B$2:$B$47,A31,'Event Parameters'!$J$2:$J$47,"Pass")&gt;0,"Pass","N/A"))))</f>
        <v/>
      </c>
      <c r="G31" s="3" t="inlineStr"/>
    </row>
    <row r="32">
      <c r="A32" s="2" t="inlineStr">
        <is>
          <t>F-031</t>
        </is>
      </c>
      <c r="B32" s="2" t="inlineStr">
        <is>
          <t>Inventory Monitor</t>
        </is>
      </c>
      <c r="C32" s="2" t="inlineStr">
        <is>
          <t>Inventory search, status and product detail</t>
        </is>
      </c>
      <c r="D32" s="2" t="inlineStr">
        <is>
          <t>Find and interpret stock using stable product identity.</t>
        </is>
      </c>
      <c r="E32" s="2" t="inlineStr">
        <is>
          <t>TC-091, TC-092, TC-093</t>
        </is>
      </c>
      <c r="F32" s="2">
        <f>IF(COUNTIFS('Test Cases'!$B$2:$B$240,A32,'Test Cases'!$M$2:$M$240,"Fail")+COUNTIFS('Event Parameters'!$B$2:$B$47,A32,'Event Parameters'!$J$2:$J$47,"Fail")&gt;0,"Fail",IF(COUNTIFS('Test Cases'!$B$2:$B$240,A32,'Test Cases'!$M$2:$M$240,"Blocked")+COUNTIFS('Event Parameters'!$B$2:$B$47,A32,'Event Parameters'!$J$2:$J$47,"Blocked")&gt;0,"Blocked",IF(COUNTIFS('Test Cases'!$B$2:$B$240,A32,'Test Cases'!$M$2:$M$240,"Not Run")+COUNTIFS('Event Parameters'!$B$2:$B$47,A32,'Event Parameters'!$J$2:$J$47,"Not Run")&gt;0,"Not Run",IF(COUNTIFS('Test Cases'!$B$2:$B$240,A32,'Test Cases'!$M$2:$M$240,"Pass")+COUNTIFS('Event Parameters'!$B$2:$B$47,A32,'Event Parameters'!$J$2:$J$47,"Pass")&gt;0,"Pass","N/A"))))</f>
        <v/>
      </c>
      <c r="G32" s="2" t="inlineStr"/>
    </row>
    <row r="33">
      <c r="A33" s="3" t="inlineStr">
        <is>
          <t>F-032</t>
        </is>
      </c>
      <c r="B33" s="3" t="inlineStr">
        <is>
          <t>Bundle Simulator</t>
        </is>
      </c>
      <c r="C33" s="3" t="inlineStr">
        <is>
          <t>FP-Growth bundle discovery</t>
        </is>
      </c>
      <c r="D33" s="3" t="inlineStr">
        <is>
          <t>Discover supported product relationships from receipts.</t>
        </is>
      </c>
      <c r="E33" s="3" t="inlineStr">
        <is>
          <t>TC-094, TC-095, TC-096</t>
        </is>
      </c>
      <c r="F33" s="3">
        <f>IF(COUNTIFS('Test Cases'!$B$2:$B$240,A33,'Test Cases'!$M$2:$M$240,"Fail")+COUNTIFS('Event Parameters'!$B$2:$B$47,A33,'Event Parameters'!$J$2:$J$47,"Fail")&gt;0,"Fail",IF(COUNTIFS('Test Cases'!$B$2:$B$240,A33,'Test Cases'!$M$2:$M$240,"Blocked")+COUNTIFS('Event Parameters'!$B$2:$B$47,A33,'Event Parameters'!$J$2:$J$47,"Blocked")&gt;0,"Blocked",IF(COUNTIFS('Test Cases'!$B$2:$B$240,A33,'Test Cases'!$M$2:$M$240,"Not Run")+COUNTIFS('Event Parameters'!$B$2:$B$47,A33,'Event Parameters'!$J$2:$J$47,"Not Run")&gt;0,"Not Run",IF(COUNTIFS('Test Cases'!$B$2:$B$240,A33,'Test Cases'!$M$2:$M$240,"Pass")+COUNTIFS('Event Parameters'!$B$2:$B$47,A33,'Event Parameters'!$J$2:$J$47,"Pass")&gt;0,"Pass","N/A"))))</f>
        <v/>
      </c>
      <c r="G33" s="3" t="inlineStr"/>
    </row>
    <row r="34">
      <c r="A34" s="2" t="inlineStr">
        <is>
          <t>F-033</t>
        </is>
      </c>
      <c r="B34" s="2" t="inlineStr">
        <is>
          <t>Bundle Simulator</t>
        </is>
      </c>
      <c r="C34" s="2" t="inlineStr">
        <is>
          <t>Seasonal bundle discovery</t>
        </is>
      </c>
      <c r="D34" s="2" t="inlineStr">
        <is>
          <t>Explore seasonal opportunities with truthful provenance.</t>
        </is>
      </c>
      <c r="E34" s="2" t="inlineStr">
        <is>
          <t>TC-097, TC-098, TC-099</t>
        </is>
      </c>
      <c r="F34" s="2">
        <f>IF(COUNTIFS('Test Cases'!$B$2:$B$240,A34,'Test Cases'!$M$2:$M$240,"Fail")+COUNTIFS('Event Parameters'!$B$2:$B$47,A34,'Event Parameters'!$J$2:$J$47,"Fail")&gt;0,"Fail",IF(COUNTIFS('Test Cases'!$B$2:$B$240,A34,'Test Cases'!$M$2:$M$240,"Blocked")+COUNTIFS('Event Parameters'!$B$2:$B$47,A34,'Event Parameters'!$J$2:$J$47,"Blocked")&gt;0,"Blocked",IF(COUNTIFS('Test Cases'!$B$2:$B$240,A34,'Test Cases'!$M$2:$M$240,"Not Run")+COUNTIFS('Event Parameters'!$B$2:$B$47,A34,'Event Parameters'!$J$2:$J$47,"Not Run")&gt;0,"Not Run",IF(COUNTIFS('Test Cases'!$B$2:$B$240,A34,'Test Cases'!$M$2:$M$240,"Pass")+COUNTIFS('Event Parameters'!$B$2:$B$47,A34,'Event Parameters'!$J$2:$J$47,"Pass")&gt;0,"Pass","N/A"))))</f>
        <v/>
      </c>
      <c r="G34" s="2" t="inlineStr"/>
    </row>
    <row r="35">
      <c r="A35" s="3" t="inlineStr">
        <is>
          <t>F-034</t>
        </is>
      </c>
      <c r="B35" s="3" t="inlineStr">
        <is>
          <t>Bundle Simulator</t>
        </is>
      </c>
      <c r="C35" s="3" t="inlineStr">
        <is>
          <t>Bundle pricing and deployment</t>
        </is>
      </c>
      <c r="D35" s="3" t="inlineStr">
        <is>
          <t>Price and save supported bundle recommendation once.</t>
        </is>
      </c>
      <c r="E35" s="3" t="inlineStr">
        <is>
          <t>TC-100, TC-101, TC-102</t>
        </is>
      </c>
      <c r="F35" s="3">
        <f>IF(COUNTIFS('Test Cases'!$B$2:$B$240,A35,'Test Cases'!$M$2:$M$240,"Fail")+COUNTIFS('Event Parameters'!$B$2:$B$47,A35,'Event Parameters'!$J$2:$J$47,"Fail")&gt;0,"Fail",IF(COUNTIFS('Test Cases'!$B$2:$B$240,A35,'Test Cases'!$M$2:$M$240,"Blocked")+COUNTIFS('Event Parameters'!$B$2:$B$47,A35,'Event Parameters'!$J$2:$J$47,"Blocked")&gt;0,"Blocked",IF(COUNTIFS('Test Cases'!$B$2:$B$240,A35,'Test Cases'!$M$2:$M$240,"Not Run")+COUNTIFS('Event Parameters'!$B$2:$B$47,A35,'Event Parameters'!$J$2:$J$47,"Not Run")&gt;0,"Not Run",IF(COUNTIFS('Test Cases'!$B$2:$B$240,A35,'Test Cases'!$M$2:$M$240,"Pass")+COUNTIFS('Event Parameters'!$B$2:$B$47,A35,'Event Parameters'!$J$2:$J$47,"Pass")&gt;0,"Pass","N/A"))))</f>
        <v/>
      </c>
      <c r="G35" s="3" t="inlineStr"/>
    </row>
    <row r="36">
      <c r="A36" s="2" t="inlineStr">
        <is>
          <t>F-035</t>
        </is>
      </c>
      <c r="B36" s="2" t="inlineStr">
        <is>
          <t>Bundle Simulator</t>
        </is>
      </c>
      <c r="C36" s="2" t="inlineStr">
        <is>
          <t>Manual bundle lifecycle</t>
        </is>
      </c>
      <c r="D36" s="2" t="inlineStr">
        <is>
          <t>Create, search, archive, restore and delete manual bundles.</t>
        </is>
      </c>
      <c r="E36" s="2" t="inlineStr">
        <is>
          <t>TC-103, TC-104, TC-105</t>
        </is>
      </c>
      <c r="F36" s="2">
        <f>IF(COUNTIFS('Test Cases'!$B$2:$B$240,A36,'Test Cases'!$M$2:$M$240,"Fail")+COUNTIFS('Event Parameters'!$B$2:$B$47,A36,'Event Parameters'!$J$2:$J$47,"Fail")&gt;0,"Fail",IF(COUNTIFS('Test Cases'!$B$2:$B$240,A36,'Test Cases'!$M$2:$M$240,"Blocked")+COUNTIFS('Event Parameters'!$B$2:$B$47,A36,'Event Parameters'!$J$2:$J$47,"Blocked")&gt;0,"Blocked",IF(COUNTIFS('Test Cases'!$B$2:$B$240,A36,'Test Cases'!$M$2:$M$240,"Not Run")+COUNTIFS('Event Parameters'!$B$2:$B$47,A36,'Event Parameters'!$J$2:$J$47,"Not Run")&gt;0,"Not Run",IF(COUNTIFS('Test Cases'!$B$2:$B$240,A36,'Test Cases'!$M$2:$M$240,"Pass")+COUNTIFS('Event Parameters'!$B$2:$B$47,A36,'Event Parameters'!$J$2:$J$47,"Pass")&gt;0,"Pass","N/A"))))</f>
        <v/>
      </c>
      <c r="G36" s="2" t="inlineStr"/>
    </row>
    <row r="37">
      <c r="A37" s="3" t="inlineStr">
        <is>
          <t>F-036</t>
        </is>
      </c>
      <c r="B37" s="3" t="inlineStr">
        <is>
          <t>Pricing Laboratory</t>
        </is>
      </c>
      <c r="C37" s="3" t="inlineStr">
        <is>
          <t>Item price-demand simulation</t>
        </is>
      </c>
      <c r="D37" s="3" t="inlineStr">
        <is>
          <t>Estimate selected item pricing scenario without editing source prices.</t>
        </is>
      </c>
      <c r="E37" s="3" t="inlineStr">
        <is>
          <t>TC-106, TC-107, TC-108</t>
        </is>
      </c>
      <c r="F37" s="3">
        <f>IF(COUNTIFS('Test Cases'!$B$2:$B$240,A37,'Test Cases'!$M$2:$M$240,"Fail")+COUNTIFS('Event Parameters'!$B$2:$B$47,A37,'Event Parameters'!$J$2:$J$47,"Fail")&gt;0,"Fail",IF(COUNTIFS('Test Cases'!$B$2:$B$240,A37,'Test Cases'!$M$2:$M$240,"Blocked")+COUNTIFS('Event Parameters'!$B$2:$B$47,A37,'Event Parameters'!$J$2:$J$47,"Blocked")&gt;0,"Blocked",IF(COUNTIFS('Test Cases'!$B$2:$B$240,A37,'Test Cases'!$M$2:$M$240,"Not Run")+COUNTIFS('Event Parameters'!$B$2:$B$47,A37,'Event Parameters'!$J$2:$J$47,"Not Run")&gt;0,"Not Run",IF(COUNTIFS('Test Cases'!$B$2:$B$240,A37,'Test Cases'!$M$2:$M$240,"Pass")+COUNTIFS('Event Parameters'!$B$2:$B$47,A37,'Event Parameters'!$J$2:$J$47,"Pass")&gt;0,"Pass","N/A"))))</f>
        <v/>
      </c>
      <c r="G37" s="3" t="inlineStr"/>
    </row>
    <row r="38">
      <c r="A38" s="2" t="inlineStr">
        <is>
          <t>F-037</t>
        </is>
      </c>
      <c r="B38" s="2" t="inlineStr">
        <is>
          <t>Traffic Optimizer</t>
        </is>
      </c>
      <c r="C38" s="2" t="inlineStr">
        <is>
          <t>Date-specific hourly traffic planning</t>
        </is>
      </c>
      <c r="D38" s="2" t="inlineStr">
        <is>
          <t>Plan demand for Today/Tomorrow with correct forecast context.</t>
        </is>
      </c>
      <c r="E38" s="2" t="inlineStr">
        <is>
          <t>TC-109, TC-110, TC-111</t>
        </is>
      </c>
      <c r="F38" s="2">
        <f>IF(COUNTIFS('Test Cases'!$B$2:$B$240,A38,'Test Cases'!$M$2:$M$240,"Fail")+COUNTIFS('Event Parameters'!$B$2:$B$47,A38,'Event Parameters'!$J$2:$J$47,"Fail")&gt;0,"Fail",IF(COUNTIFS('Test Cases'!$B$2:$B$240,A38,'Test Cases'!$M$2:$M$240,"Blocked")+COUNTIFS('Event Parameters'!$B$2:$B$47,A38,'Event Parameters'!$J$2:$J$47,"Blocked")&gt;0,"Blocked",IF(COUNTIFS('Test Cases'!$B$2:$B$240,A38,'Test Cases'!$M$2:$M$240,"Not Run")+COUNTIFS('Event Parameters'!$B$2:$B$47,A38,'Event Parameters'!$J$2:$J$47,"Not Run")&gt;0,"Not Run",IF(COUNTIFS('Test Cases'!$B$2:$B$240,A38,'Test Cases'!$M$2:$M$240,"Pass")+COUNTIFS('Event Parameters'!$B$2:$B$47,A38,'Event Parameters'!$J$2:$J$47,"Pass")&gt;0,"Pass","N/A"))))</f>
        <v/>
      </c>
      <c r="G38" s="2" t="inlineStr"/>
    </row>
    <row r="39">
      <c r="A39" s="3" t="inlineStr">
        <is>
          <t>F-038</t>
        </is>
      </c>
      <c r="B39" s="3" t="inlineStr">
        <is>
          <t>Traffic Optimizer</t>
        </is>
      </c>
      <c r="C39" s="3" t="inlineStr">
        <is>
          <t>Staffing recommendation acceptance and feedback</t>
        </is>
      </c>
      <c r="D39" s="3" t="inlineStr">
        <is>
          <t>Accept the intended staffing plan with auditable feedback.</t>
        </is>
      </c>
      <c r="E39" s="3" t="inlineStr">
        <is>
          <t>TC-112, TC-113, TC-114</t>
        </is>
      </c>
      <c r="F39" s="3">
        <f>IF(COUNTIFS('Test Cases'!$B$2:$B$240,A39,'Test Cases'!$M$2:$M$240,"Fail")+COUNTIFS('Event Parameters'!$B$2:$B$47,A39,'Event Parameters'!$J$2:$J$47,"Fail")&gt;0,"Fail",IF(COUNTIFS('Test Cases'!$B$2:$B$240,A39,'Test Cases'!$M$2:$M$240,"Blocked")+COUNTIFS('Event Parameters'!$B$2:$B$47,A39,'Event Parameters'!$J$2:$J$47,"Blocked")&gt;0,"Blocked",IF(COUNTIFS('Test Cases'!$B$2:$B$240,A39,'Test Cases'!$M$2:$M$240,"Not Run")+COUNTIFS('Event Parameters'!$B$2:$B$47,A39,'Event Parameters'!$J$2:$J$47,"Not Run")&gt;0,"Not Run",IF(COUNTIFS('Test Cases'!$B$2:$B$240,A39,'Test Cases'!$M$2:$M$240,"Pass")+COUNTIFS('Event Parameters'!$B$2:$B$47,A39,'Event Parameters'!$J$2:$J$47,"Pass")&gt;0,"Pass","N/A"))))</f>
        <v/>
      </c>
      <c r="G39" s="3" t="inlineStr"/>
    </row>
    <row r="40">
      <c r="A40" s="2" t="inlineStr">
        <is>
          <t>F-039</t>
        </is>
      </c>
      <c r="B40" s="2" t="inlineStr">
        <is>
          <t>Operations What-If</t>
        </is>
      </c>
      <c r="C40" s="2" t="inlineStr">
        <is>
          <t>Simulation input sourcing</t>
        </is>
      </c>
      <c r="D40" s="2" t="inlineStr">
        <is>
          <t>Load transparent historical, forecast or custom scenario inputs.</t>
        </is>
      </c>
      <c r="E40" s="2" t="inlineStr">
        <is>
          <t>TC-115, TC-116, TC-117</t>
        </is>
      </c>
      <c r="F40" s="2">
        <f>IF(COUNTIFS('Test Cases'!$B$2:$B$240,A40,'Test Cases'!$M$2:$M$240,"Fail")+COUNTIFS('Event Parameters'!$B$2:$B$47,A40,'Event Parameters'!$J$2:$J$47,"Fail")&gt;0,"Fail",IF(COUNTIFS('Test Cases'!$B$2:$B$240,A40,'Test Cases'!$M$2:$M$240,"Blocked")+COUNTIFS('Event Parameters'!$B$2:$B$47,A40,'Event Parameters'!$J$2:$J$47,"Blocked")&gt;0,"Blocked",IF(COUNTIFS('Test Cases'!$B$2:$B$240,A40,'Test Cases'!$M$2:$M$240,"Not Run")+COUNTIFS('Event Parameters'!$B$2:$B$47,A40,'Event Parameters'!$J$2:$J$47,"Not Run")&gt;0,"Not Run",IF(COUNTIFS('Test Cases'!$B$2:$B$240,A40,'Test Cases'!$M$2:$M$240,"Pass")+COUNTIFS('Event Parameters'!$B$2:$B$47,A40,'Event Parameters'!$J$2:$J$47,"Pass")&gt;0,"Pass","N/A"))))</f>
        <v/>
      </c>
      <c r="G40" s="2" t="inlineStr"/>
    </row>
    <row r="41">
      <c r="A41" s="3" t="inlineStr">
        <is>
          <t>F-040</t>
        </is>
      </c>
      <c r="B41" s="3" t="inlineStr">
        <is>
          <t>Operations What-If</t>
        </is>
      </c>
      <c r="C41" s="3" t="inlineStr">
        <is>
          <t>Scenario configuration and matched baseline</t>
        </is>
      </c>
      <c r="D41" s="3" t="inlineStr">
        <is>
          <t>Configure resources/demand/events while keeping baseline comparable.</t>
        </is>
      </c>
      <c r="E41" s="3" t="inlineStr">
        <is>
          <t>TC-118, TC-119, TC-120</t>
        </is>
      </c>
      <c r="F41" s="3">
        <f>IF(COUNTIFS('Test Cases'!$B$2:$B$240,A41,'Test Cases'!$M$2:$M$240,"Fail")+COUNTIFS('Event Parameters'!$B$2:$B$47,A41,'Event Parameters'!$J$2:$J$47,"Fail")&gt;0,"Fail",IF(COUNTIFS('Test Cases'!$B$2:$B$240,A41,'Test Cases'!$M$2:$M$240,"Blocked")+COUNTIFS('Event Parameters'!$B$2:$B$47,A41,'Event Parameters'!$J$2:$J$47,"Blocked")&gt;0,"Blocked",IF(COUNTIFS('Test Cases'!$B$2:$B$240,A41,'Test Cases'!$M$2:$M$240,"Not Run")+COUNTIFS('Event Parameters'!$B$2:$B$47,A41,'Event Parameters'!$J$2:$J$47,"Not Run")&gt;0,"Not Run",IF(COUNTIFS('Test Cases'!$B$2:$B$240,A41,'Test Cases'!$M$2:$M$240,"Pass")+COUNTIFS('Event Parameters'!$B$2:$B$47,A41,'Event Parameters'!$J$2:$J$47,"Pass")&gt;0,"Pass","N/A"))))</f>
        <v/>
      </c>
      <c r="G41" s="3" t="inlineStr"/>
    </row>
    <row r="42">
      <c r="A42" s="2" t="inlineStr">
        <is>
          <t>F-041</t>
        </is>
      </c>
      <c r="B42" s="2" t="inlineStr">
        <is>
          <t>Operations What-If</t>
        </is>
      </c>
      <c r="C42" s="2" t="inlineStr">
        <is>
          <t>Animated operations and real lifecycle</t>
        </is>
      </c>
      <c r="D42" s="2" t="inlineStr">
        <is>
          <t>Watch engine-driven arrivals, queues, services, checkout and exit.</t>
        </is>
      </c>
      <c r="E42" s="2" t="inlineStr">
        <is>
          <t>TC-121, TC-122, TC-123</t>
        </is>
      </c>
      <c r="F42" s="2">
        <f>IF(COUNTIFS('Test Cases'!$B$2:$B$240,A42,'Test Cases'!$M$2:$M$240,"Fail")+COUNTIFS('Event Parameters'!$B$2:$B$47,A42,'Event Parameters'!$J$2:$J$47,"Fail")&gt;0,"Fail",IF(COUNTIFS('Test Cases'!$B$2:$B$240,A42,'Test Cases'!$M$2:$M$240,"Blocked")+COUNTIFS('Event Parameters'!$B$2:$B$47,A42,'Event Parameters'!$J$2:$J$47,"Blocked")&gt;0,"Blocked",IF(COUNTIFS('Test Cases'!$B$2:$B$240,A42,'Test Cases'!$M$2:$M$240,"Not Run")+COUNTIFS('Event Parameters'!$B$2:$B$47,A42,'Event Parameters'!$J$2:$J$47,"Not Run")&gt;0,"Not Run",IF(COUNTIFS('Test Cases'!$B$2:$B$240,A42,'Test Cases'!$M$2:$M$240,"Pass")+COUNTIFS('Event Parameters'!$B$2:$B$47,A42,'Event Parameters'!$J$2:$J$47,"Pass")&gt;0,"Pass","N/A"))))</f>
        <v/>
      </c>
      <c r="G42" s="2" t="inlineStr"/>
    </row>
    <row r="43">
      <c r="A43" s="3" t="inlineStr">
        <is>
          <t>F-042</t>
        </is>
      </c>
      <c r="B43" s="3" t="inlineStr">
        <is>
          <t>Operations What-If</t>
        </is>
      </c>
      <c r="C43" s="3" t="inlineStr">
        <is>
          <t>Playback and state inspection</t>
        </is>
      </c>
      <c r="D43" s="3" t="inlineStr">
        <is>
          <t>Inspect one deterministic simulation at any supported playback speed/time.</t>
        </is>
      </c>
      <c r="E43" s="3" t="inlineStr">
        <is>
          <t>TC-124, TC-125, TC-126</t>
        </is>
      </c>
      <c r="F43" s="3">
        <f>IF(COUNTIFS('Test Cases'!$B$2:$B$240,A43,'Test Cases'!$M$2:$M$240,"Fail")+COUNTIFS('Event Parameters'!$B$2:$B$47,A43,'Event Parameters'!$J$2:$J$47,"Fail")&gt;0,"Fail",IF(COUNTIFS('Test Cases'!$B$2:$B$240,A43,'Test Cases'!$M$2:$M$240,"Blocked")+COUNTIFS('Event Parameters'!$B$2:$B$47,A43,'Event Parameters'!$J$2:$J$47,"Blocked")&gt;0,"Blocked",IF(COUNTIFS('Test Cases'!$B$2:$B$240,A43,'Test Cases'!$M$2:$M$240,"Not Run")+COUNTIFS('Event Parameters'!$B$2:$B$47,A43,'Event Parameters'!$J$2:$J$47,"Not Run")&gt;0,"Not Run",IF(COUNTIFS('Test Cases'!$B$2:$B$240,A43,'Test Cases'!$M$2:$M$240,"Pass")+COUNTIFS('Event Parameters'!$B$2:$B$47,A43,'Event Parameters'!$J$2:$J$47,"Pass")&gt;0,"Pass","N/A"))))</f>
        <v/>
      </c>
      <c r="G43" s="3" t="inlineStr"/>
    </row>
    <row r="44">
      <c r="A44" s="2" t="inlineStr">
        <is>
          <t>F-043</t>
        </is>
      </c>
      <c r="B44" s="2" t="inlineStr">
        <is>
          <t>Operations What-If</t>
        </is>
      </c>
      <c r="C44" s="2" t="inlineStr">
        <is>
          <t>Live analytics and bottleneck detection</t>
        </is>
      </c>
      <c r="D44" s="2" t="inlineStr">
        <is>
          <t>Show operational consequences alongside the floor.</t>
        </is>
      </c>
      <c r="E44" s="2" t="inlineStr">
        <is>
          <t>TC-127, TC-128, TC-129</t>
        </is>
      </c>
      <c r="F44" s="2">
        <f>IF(COUNTIFS('Test Cases'!$B$2:$B$240,A44,'Test Cases'!$M$2:$M$240,"Fail")+COUNTIFS('Event Parameters'!$B$2:$B$47,A44,'Event Parameters'!$J$2:$J$47,"Fail")&gt;0,"Fail",IF(COUNTIFS('Test Cases'!$B$2:$B$240,A44,'Test Cases'!$M$2:$M$240,"Blocked")+COUNTIFS('Event Parameters'!$B$2:$B$47,A44,'Event Parameters'!$J$2:$J$47,"Blocked")&gt;0,"Blocked",IF(COUNTIFS('Test Cases'!$B$2:$B$240,A44,'Test Cases'!$M$2:$M$240,"Not Run")+COUNTIFS('Event Parameters'!$B$2:$B$47,A44,'Event Parameters'!$J$2:$J$47,"Not Run")&gt;0,"Not Run",IF(COUNTIFS('Test Cases'!$B$2:$B$240,A44,'Test Cases'!$M$2:$M$240,"Pass")+COUNTIFS('Event Parameters'!$B$2:$B$47,A44,'Event Parameters'!$J$2:$J$47,"Pass")&gt;0,"Pass","N/A"))))</f>
        <v/>
      </c>
      <c r="G44" s="2" t="inlineStr"/>
    </row>
    <row r="45">
      <c r="A45" s="3" t="inlineStr">
        <is>
          <t>F-044</t>
        </is>
      </c>
      <c r="B45" s="3" t="inlineStr">
        <is>
          <t>Injected Events</t>
        </is>
      </c>
      <c r="C45" s="3" t="inlineStr">
        <is>
          <t>Interactive operational event injection</t>
        </is>
      </c>
      <c r="D45" s="3" t="inlineStr">
        <is>
          <t>Apply supported What-If events from the current simulated time.</t>
        </is>
      </c>
      <c r="E45" s="3" t="inlineStr">
        <is>
          <t>TC-130, TC-131, TC-132</t>
        </is>
      </c>
      <c r="F45" s="3">
        <f>IF(COUNTIFS('Test Cases'!$B$2:$B$240,A45,'Test Cases'!$M$2:$M$240,"Fail")+COUNTIFS('Event Parameters'!$B$2:$B$47,A45,'Event Parameters'!$J$2:$J$47,"Fail")&gt;0,"Fail",IF(COUNTIFS('Test Cases'!$B$2:$B$240,A45,'Test Cases'!$M$2:$M$240,"Blocked")+COUNTIFS('Event Parameters'!$B$2:$B$47,A45,'Event Parameters'!$J$2:$J$47,"Blocked")&gt;0,"Blocked",IF(COUNTIFS('Test Cases'!$B$2:$B$240,A45,'Test Cases'!$M$2:$M$240,"Not Run")+COUNTIFS('Event Parameters'!$B$2:$B$47,A45,'Event Parameters'!$J$2:$J$47,"Not Run")&gt;0,"Not Run",IF(COUNTIFS('Test Cases'!$B$2:$B$240,A45,'Test Cases'!$M$2:$M$240,"Pass")+COUNTIFS('Event Parameters'!$B$2:$B$47,A45,'Event Parameters'!$J$2:$J$47,"Pass")&gt;0,"Pass","N/A"))))</f>
        <v/>
      </c>
      <c r="G45" s="3" t="inlineStr"/>
    </row>
    <row r="46">
      <c r="A46" s="2" t="inlineStr">
        <is>
          <t>F-045</t>
        </is>
      </c>
      <c r="B46" s="2" t="inlineStr">
        <is>
          <t>Injected Events</t>
        </is>
      </c>
      <c r="C46" s="2" t="inlineStr">
        <is>
          <t>Staff availability</t>
        </is>
      </c>
      <c r="D46" s="2" t="inlineStr">
        <is>
          <t>Verify all supported templates for this event family.</t>
        </is>
      </c>
      <c r="E46" s="2" t="inlineStr">
        <is>
          <t>TC-133, TC-134</t>
        </is>
      </c>
      <c r="F46" s="2">
        <f>IF(COUNTIFS('Test Cases'!$B$2:$B$240,A46,'Test Cases'!$M$2:$M$240,"Fail")+COUNTIFS('Event Parameters'!$B$2:$B$47,A46,'Event Parameters'!$J$2:$J$47,"Fail")&gt;0,"Fail",IF(COUNTIFS('Test Cases'!$B$2:$B$240,A46,'Test Cases'!$M$2:$M$240,"Blocked")+COUNTIFS('Event Parameters'!$B$2:$B$47,A46,'Event Parameters'!$J$2:$J$47,"Blocked")&gt;0,"Blocked",IF(COUNTIFS('Test Cases'!$B$2:$B$240,A46,'Test Cases'!$M$2:$M$240,"Not Run")+COUNTIFS('Event Parameters'!$B$2:$B$47,A46,'Event Parameters'!$J$2:$J$47,"Not Run")&gt;0,"Not Run",IF(COUNTIFS('Test Cases'!$B$2:$B$240,A46,'Test Cases'!$M$2:$M$240,"Pass")+COUNTIFS('Event Parameters'!$B$2:$B$47,A46,'Event Parameters'!$J$2:$J$47,"Pass")&gt;0,"Pass","N/A"))))</f>
        <v/>
      </c>
      <c r="G46" s="2" t="inlineStr"/>
    </row>
    <row r="47">
      <c r="A47" s="3" t="inlineStr">
        <is>
          <t>F-046</t>
        </is>
      </c>
      <c r="B47" s="3" t="inlineStr">
        <is>
          <t>Injected Events</t>
        </is>
      </c>
      <c r="C47" s="3" t="inlineStr">
        <is>
          <t>Stations and equipment</t>
        </is>
      </c>
      <c r="D47" s="3" t="inlineStr">
        <is>
          <t>Verify all supported templates for this event family.</t>
        </is>
      </c>
      <c r="E47" s="3" t="inlineStr">
        <is>
          <t>TC-135, TC-136</t>
        </is>
      </c>
      <c r="F47" s="3">
        <f>IF(COUNTIFS('Test Cases'!$B$2:$B$240,A47,'Test Cases'!$M$2:$M$240,"Fail")+COUNTIFS('Event Parameters'!$B$2:$B$47,A47,'Event Parameters'!$J$2:$J$47,"Fail")&gt;0,"Fail",IF(COUNTIFS('Test Cases'!$B$2:$B$240,A47,'Test Cases'!$M$2:$M$240,"Blocked")+COUNTIFS('Event Parameters'!$B$2:$B$47,A47,'Event Parameters'!$J$2:$J$47,"Blocked")&gt;0,"Blocked",IF(COUNTIFS('Test Cases'!$B$2:$B$240,A47,'Test Cases'!$M$2:$M$240,"Not Run")+COUNTIFS('Event Parameters'!$B$2:$B$47,A47,'Event Parameters'!$J$2:$J$47,"Not Run")&gt;0,"Not Run",IF(COUNTIFS('Test Cases'!$B$2:$B$240,A47,'Test Cases'!$M$2:$M$240,"Pass")+COUNTIFS('Event Parameters'!$B$2:$B$47,A47,'Event Parameters'!$J$2:$J$47,"Pass")&gt;0,"Pass","N/A"))))</f>
        <v/>
      </c>
      <c r="G47" s="3" t="inlineStr"/>
    </row>
    <row r="48">
      <c r="A48" s="2" t="inlineStr">
        <is>
          <t>F-047</t>
        </is>
      </c>
      <c r="B48" s="2" t="inlineStr">
        <is>
          <t>Injected Events</t>
        </is>
      </c>
      <c r="C48" s="2" t="inlineStr">
        <is>
          <t>Facility closures</t>
        </is>
      </c>
      <c r="D48" s="2" t="inlineStr">
        <is>
          <t>Verify all supported templates for this event family.</t>
        </is>
      </c>
      <c r="E48" s="2" t="inlineStr">
        <is>
          <t>TC-137, TC-138</t>
        </is>
      </c>
      <c r="F48" s="2">
        <f>IF(COUNTIFS('Test Cases'!$B$2:$B$240,A48,'Test Cases'!$M$2:$M$240,"Fail")+COUNTIFS('Event Parameters'!$B$2:$B$47,A48,'Event Parameters'!$J$2:$J$47,"Fail")&gt;0,"Fail",IF(COUNTIFS('Test Cases'!$B$2:$B$240,A48,'Test Cases'!$M$2:$M$240,"Blocked")+COUNTIFS('Event Parameters'!$B$2:$B$47,A48,'Event Parameters'!$J$2:$J$47,"Blocked")&gt;0,"Blocked",IF(COUNTIFS('Test Cases'!$B$2:$B$240,A48,'Test Cases'!$M$2:$M$240,"Not Run")+COUNTIFS('Event Parameters'!$B$2:$B$47,A48,'Event Parameters'!$J$2:$J$47,"Not Run")&gt;0,"Not Run",IF(COUNTIFS('Test Cases'!$B$2:$B$240,A48,'Test Cases'!$M$2:$M$240,"Pass")+COUNTIFS('Event Parameters'!$B$2:$B$47,A48,'Event Parameters'!$J$2:$J$47,"Pass")&gt;0,"Pass","N/A"))))</f>
        <v/>
      </c>
      <c r="G48" s="2" t="inlineStr"/>
    </row>
    <row r="49">
      <c r="A49" s="3" t="inlineStr">
        <is>
          <t>F-048</t>
        </is>
      </c>
      <c r="B49" s="3" t="inlineStr">
        <is>
          <t>Injected Events</t>
        </is>
      </c>
      <c r="C49" s="3" t="inlineStr">
        <is>
          <t>Inventory supply disruption/restock</t>
        </is>
      </c>
      <c r="D49" s="3" t="inlineStr">
        <is>
          <t>Verify all supported templates for this event family.</t>
        </is>
      </c>
      <c r="E49" s="3" t="inlineStr">
        <is>
          <t>TC-139, TC-140</t>
        </is>
      </c>
      <c r="F49" s="3">
        <f>IF(COUNTIFS('Test Cases'!$B$2:$B$240,A49,'Test Cases'!$M$2:$M$240,"Fail")+COUNTIFS('Event Parameters'!$B$2:$B$47,A49,'Event Parameters'!$J$2:$J$47,"Fail")&gt;0,"Fail",IF(COUNTIFS('Test Cases'!$B$2:$B$240,A49,'Test Cases'!$M$2:$M$240,"Blocked")+COUNTIFS('Event Parameters'!$B$2:$B$47,A49,'Event Parameters'!$J$2:$J$47,"Blocked")&gt;0,"Blocked",IF(COUNTIFS('Test Cases'!$B$2:$B$240,A49,'Test Cases'!$M$2:$M$240,"Not Run")+COUNTIFS('Event Parameters'!$B$2:$B$47,A49,'Event Parameters'!$J$2:$J$47,"Not Run")&gt;0,"Not Run",IF(COUNTIFS('Test Cases'!$B$2:$B$240,A49,'Test Cases'!$M$2:$M$240,"Pass")+COUNTIFS('Event Parameters'!$B$2:$B$47,A49,'Event Parameters'!$J$2:$J$47,"Pass")&gt;0,"Pass","N/A"))))</f>
        <v/>
      </c>
      <c r="G49" s="3" t="inlineStr"/>
    </row>
    <row r="50">
      <c r="A50" s="2" t="inlineStr">
        <is>
          <t>F-049</t>
        </is>
      </c>
      <c r="B50" s="2" t="inlineStr">
        <is>
          <t>Injected Events</t>
        </is>
      </c>
      <c r="C50" s="2" t="inlineStr">
        <is>
          <t>Checkout and payment</t>
        </is>
      </c>
      <c r="D50" s="2" t="inlineStr">
        <is>
          <t>Verify all supported templates for this event family.</t>
        </is>
      </c>
      <c r="E50" s="2" t="inlineStr">
        <is>
          <t>TC-141, TC-142</t>
        </is>
      </c>
      <c r="F50" s="2">
        <f>IF(COUNTIFS('Test Cases'!$B$2:$B$240,A50,'Test Cases'!$M$2:$M$240,"Fail")+COUNTIFS('Event Parameters'!$B$2:$B$47,A50,'Event Parameters'!$J$2:$J$47,"Fail")&gt;0,"Fail",IF(COUNTIFS('Test Cases'!$B$2:$B$240,A50,'Test Cases'!$M$2:$M$240,"Blocked")+COUNTIFS('Event Parameters'!$B$2:$B$47,A50,'Event Parameters'!$J$2:$J$47,"Blocked")&gt;0,"Blocked",IF(COUNTIFS('Test Cases'!$B$2:$B$240,A50,'Test Cases'!$M$2:$M$240,"Not Run")+COUNTIFS('Event Parameters'!$B$2:$B$47,A50,'Event Parameters'!$J$2:$J$47,"Not Run")&gt;0,"Not Run",IF(COUNTIFS('Test Cases'!$B$2:$B$240,A50,'Test Cases'!$M$2:$M$240,"Pass")+COUNTIFS('Event Parameters'!$B$2:$B$47,A50,'Event Parameters'!$J$2:$J$47,"Pass")&gt;0,"Pass","N/A"))))</f>
        <v/>
      </c>
      <c r="G50" s="2" t="inlineStr"/>
    </row>
    <row r="51">
      <c r="A51" s="3" t="inlineStr">
        <is>
          <t>F-050</t>
        </is>
      </c>
      <c r="B51" s="3" t="inlineStr">
        <is>
          <t>Injected Events</t>
        </is>
      </c>
      <c r="C51" s="3" t="inlineStr">
        <is>
          <t>Demand surge or reduction</t>
        </is>
      </c>
      <c r="D51" s="3" t="inlineStr">
        <is>
          <t>Verify all supported templates for this event family.</t>
        </is>
      </c>
      <c r="E51" s="3" t="inlineStr">
        <is>
          <t>TC-143, TC-144</t>
        </is>
      </c>
      <c r="F51" s="3">
        <f>IF(COUNTIFS('Test Cases'!$B$2:$B$240,A51,'Test Cases'!$M$2:$M$240,"Fail")+COUNTIFS('Event Parameters'!$B$2:$B$47,A51,'Event Parameters'!$J$2:$J$47,"Fail")&gt;0,"Fail",IF(COUNTIFS('Test Cases'!$B$2:$B$240,A51,'Test Cases'!$M$2:$M$240,"Blocked")+COUNTIFS('Event Parameters'!$B$2:$B$47,A51,'Event Parameters'!$J$2:$J$47,"Blocked")&gt;0,"Blocked",IF(COUNTIFS('Test Cases'!$B$2:$B$240,A51,'Test Cases'!$M$2:$M$240,"Not Run")+COUNTIFS('Event Parameters'!$B$2:$B$47,A51,'Event Parameters'!$J$2:$J$47,"Not Run")&gt;0,"Not Run",IF(COUNTIFS('Test Cases'!$B$2:$B$240,A51,'Test Cases'!$M$2:$M$240,"Pass")+COUNTIFS('Event Parameters'!$B$2:$B$47,A51,'Event Parameters'!$J$2:$J$47,"Pass")&gt;0,"Pass","N/A"))))</f>
        <v/>
      </c>
      <c r="G51" s="3" t="inlineStr"/>
    </row>
    <row r="52">
      <c r="A52" s="2" t="inlineStr">
        <is>
          <t>F-051</t>
        </is>
      </c>
      <c r="B52" s="2" t="inlineStr">
        <is>
          <t>Injected Events</t>
        </is>
      </c>
      <c r="C52" s="2" t="inlineStr">
        <is>
          <t>Service handling and delays</t>
        </is>
      </c>
      <c r="D52" s="2" t="inlineStr">
        <is>
          <t>Verify all supported templates for this event family.</t>
        </is>
      </c>
      <c r="E52" s="2" t="inlineStr">
        <is>
          <t>TC-145, TC-146</t>
        </is>
      </c>
      <c r="F52" s="2">
        <f>IF(COUNTIFS('Test Cases'!$B$2:$B$240,A52,'Test Cases'!$M$2:$M$240,"Fail")+COUNTIFS('Event Parameters'!$B$2:$B$47,A52,'Event Parameters'!$J$2:$J$47,"Fail")&gt;0,"Fail",IF(COUNTIFS('Test Cases'!$B$2:$B$240,A52,'Test Cases'!$M$2:$M$240,"Blocked")+COUNTIFS('Event Parameters'!$B$2:$B$47,A52,'Event Parameters'!$J$2:$J$47,"Blocked")&gt;0,"Blocked",IF(COUNTIFS('Test Cases'!$B$2:$B$240,A52,'Test Cases'!$M$2:$M$240,"Not Run")+COUNTIFS('Event Parameters'!$B$2:$B$47,A52,'Event Parameters'!$J$2:$J$47,"Not Run")&gt;0,"Not Run",IF(COUNTIFS('Test Cases'!$B$2:$B$240,A52,'Test Cases'!$M$2:$M$240,"Pass")+COUNTIFS('Event Parameters'!$B$2:$B$47,A52,'Event Parameters'!$J$2:$J$47,"Pass")&gt;0,"Pass","N/A"))))</f>
        <v/>
      </c>
      <c r="G52" s="2" t="inlineStr"/>
    </row>
    <row r="53">
      <c r="A53" s="3" t="inlineStr">
        <is>
          <t>F-052</t>
        </is>
      </c>
      <c r="B53" s="3" t="inlineStr">
        <is>
          <t>Injected Events</t>
        </is>
      </c>
      <c r="C53" s="3" t="inlineStr">
        <is>
          <t>Appointment cancellation/no-show/lateness</t>
        </is>
      </c>
      <c r="D53" s="3" t="inlineStr">
        <is>
          <t>Verify all supported templates for this event family.</t>
        </is>
      </c>
      <c r="E53" s="3" t="inlineStr">
        <is>
          <t>TC-147, TC-148</t>
        </is>
      </c>
      <c r="F53" s="3">
        <f>IF(COUNTIFS('Test Cases'!$B$2:$B$240,A53,'Test Cases'!$M$2:$M$240,"Fail")+COUNTIFS('Event Parameters'!$B$2:$B$47,A53,'Event Parameters'!$J$2:$J$47,"Fail")&gt;0,"Fail",IF(COUNTIFS('Test Cases'!$B$2:$B$240,A53,'Test Cases'!$M$2:$M$240,"Blocked")+COUNTIFS('Event Parameters'!$B$2:$B$47,A53,'Event Parameters'!$J$2:$J$47,"Blocked")&gt;0,"Blocked",IF(COUNTIFS('Test Cases'!$B$2:$B$240,A53,'Test Cases'!$M$2:$M$240,"Not Run")+COUNTIFS('Event Parameters'!$B$2:$B$47,A53,'Event Parameters'!$J$2:$J$47,"Not Run")&gt;0,"Not Run",IF(COUNTIFS('Test Cases'!$B$2:$B$240,A53,'Test Cases'!$M$2:$M$240,"Pass")+COUNTIFS('Event Parameters'!$B$2:$B$47,A53,'Event Parameters'!$J$2:$J$47,"Pass")&gt;0,"Pass","N/A"))))</f>
        <v/>
      </c>
      <c r="G53" s="3" t="inlineStr"/>
    </row>
    <row r="54">
      <c r="A54" s="2" t="inlineStr">
        <is>
          <t>F-053</t>
        </is>
      </c>
      <c r="B54" s="2" t="inlineStr">
        <is>
          <t>Operations What-If</t>
        </is>
      </c>
      <c r="C54" s="2" t="inlineStr">
        <is>
          <t>Baseline versus What-If comparison</t>
        </is>
      </c>
      <c r="D54" s="2" t="inlineStr">
        <is>
          <t>Compare matched operational outcomes with accurate deltas.</t>
        </is>
      </c>
      <c r="E54" s="2" t="inlineStr">
        <is>
          <t>TC-149, TC-150, TC-151</t>
        </is>
      </c>
      <c r="F54" s="2">
        <f>IF(COUNTIFS('Test Cases'!$B$2:$B$240,A54,'Test Cases'!$M$2:$M$240,"Fail")+COUNTIFS('Event Parameters'!$B$2:$B$47,A54,'Event Parameters'!$J$2:$J$47,"Fail")&gt;0,"Fail",IF(COUNTIFS('Test Cases'!$B$2:$B$240,A54,'Test Cases'!$M$2:$M$240,"Blocked")+COUNTIFS('Event Parameters'!$B$2:$B$47,A54,'Event Parameters'!$J$2:$J$47,"Blocked")&gt;0,"Blocked",IF(COUNTIFS('Test Cases'!$B$2:$B$240,A54,'Test Cases'!$M$2:$M$240,"Not Run")+COUNTIFS('Event Parameters'!$B$2:$B$47,A54,'Event Parameters'!$J$2:$J$47,"Not Run")&gt;0,"Not Run",IF(COUNTIFS('Test Cases'!$B$2:$B$240,A54,'Test Cases'!$M$2:$M$240,"Pass")+COUNTIFS('Event Parameters'!$B$2:$B$47,A54,'Event Parameters'!$J$2:$J$47,"Pass")&gt;0,"Pass","N/A"))))</f>
        <v/>
      </c>
      <c r="G54" s="2" t="inlineStr"/>
    </row>
    <row r="55">
      <c r="A55" s="3" t="inlineStr">
        <is>
          <t>F-054</t>
        </is>
      </c>
      <c r="B55" s="3" t="inlineStr">
        <is>
          <t>Operations What-If</t>
        </is>
      </c>
      <c r="C55" s="3" t="inlineStr">
        <is>
          <t>Saved runs, export and reproducibility</t>
        </is>
      </c>
      <c r="D55" s="3" t="inlineStr">
        <is>
          <t>Persist and reproduce configuration, events and results.</t>
        </is>
      </c>
      <c r="E55" s="3" t="inlineStr">
        <is>
          <t>TC-152, TC-153, TC-154</t>
        </is>
      </c>
      <c r="F55" s="3">
        <f>IF(COUNTIFS('Test Cases'!$B$2:$B$240,A55,'Test Cases'!$M$2:$M$240,"Fail")+COUNTIFS('Event Parameters'!$B$2:$B$47,A55,'Event Parameters'!$J$2:$J$47,"Fail")&gt;0,"Fail",IF(COUNTIFS('Test Cases'!$B$2:$B$240,A55,'Test Cases'!$M$2:$M$240,"Blocked")+COUNTIFS('Event Parameters'!$B$2:$B$47,A55,'Event Parameters'!$J$2:$J$47,"Blocked")&gt;0,"Blocked",IF(COUNTIFS('Test Cases'!$B$2:$B$240,A55,'Test Cases'!$M$2:$M$240,"Not Run")+COUNTIFS('Event Parameters'!$B$2:$B$47,A55,'Event Parameters'!$J$2:$J$47,"Not Run")&gt;0,"Not Run",IF(COUNTIFS('Test Cases'!$B$2:$B$240,A55,'Test Cases'!$M$2:$M$240,"Pass")+COUNTIFS('Event Parameters'!$B$2:$B$47,A55,'Event Parameters'!$J$2:$J$47,"Pass")&gt;0,"Pass","N/A"))))</f>
        <v/>
      </c>
      <c r="G55" s="3" t="inlineStr"/>
    </row>
    <row r="56">
      <c r="A56" s="2" t="inlineStr">
        <is>
          <t>F-055</t>
        </is>
      </c>
      <c r="B56" s="2" t="inlineStr">
        <is>
          <t>Scenario Builder</t>
        </is>
      </c>
      <c r="C56" s="2" t="inlineStr">
        <is>
          <t>Forecast scenario builder</t>
        </is>
      </c>
      <c r="D56" s="2" t="inlineStr">
        <is>
          <t>Model named weather/day/promo/payday assumptions.</t>
        </is>
      </c>
      <c r="E56" s="2" t="inlineStr">
        <is>
          <t>TC-155, TC-156, TC-157</t>
        </is>
      </c>
      <c r="F56" s="2">
        <f>IF(COUNTIFS('Test Cases'!$B$2:$B$240,A56,'Test Cases'!$M$2:$M$240,"Fail")+COUNTIFS('Event Parameters'!$B$2:$B$47,A56,'Event Parameters'!$J$2:$J$47,"Fail")&gt;0,"Fail",IF(COUNTIFS('Test Cases'!$B$2:$B$240,A56,'Test Cases'!$M$2:$M$240,"Blocked")+COUNTIFS('Event Parameters'!$B$2:$B$47,A56,'Event Parameters'!$J$2:$J$47,"Blocked")&gt;0,"Blocked",IF(COUNTIFS('Test Cases'!$B$2:$B$240,A56,'Test Cases'!$M$2:$M$240,"Not Run")+COUNTIFS('Event Parameters'!$B$2:$B$47,A56,'Event Parameters'!$J$2:$J$47,"Not Run")&gt;0,"Not Run",IF(COUNTIFS('Test Cases'!$B$2:$B$240,A56,'Test Cases'!$M$2:$M$240,"Pass")+COUNTIFS('Event Parameters'!$B$2:$B$47,A56,'Event Parameters'!$J$2:$J$47,"Pass")&gt;0,"Pass","N/A"))))</f>
        <v/>
      </c>
      <c r="G56" s="2" t="inlineStr"/>
    </row>
    <row r="57">
      <c r="A57" s="3" t="inlineStr">
        <is>
          <t>F-056</t>
        </is>
      </c>
      <c r="B57" s="3" t="inlineStr">
        <is>
          <t>Activation Layer</t>
        </is>
      </c>
      <c r="C57" s="3" t="inlineStr">
        <is>
          <t>Campaign asset generation and lifecycle</t>
        </is>
      </c>
      <c r="D57" s="3" t="inlineStr">
        <is>
          <t>Generate, approve, queue and publish approved QA campaign.</t>
        </is>
      </c>
      <c r="E57" s="3" t="inlineStr">
        <is>
          <t>TC-158, TC-159, TC-160</t>
        </is>
      </c>
      <c r="F57" s="3">
        <f>IF(COUNTIFS('Test Cases'!$B$2:$B$240,A57,'Test Cases'!$M$2:$M$240,"Fail")+COUNTIFS('Event Parameters'!$B$2:$B$47,A57,'Event Parameters'!$J$2:$J$47,"Fail")&gt;0,"Fail",IF(COUNTIFS('Test Cases'!$B$2:$B$240,A57,'Test Cases'!$M$2:$M$240,"Blocked")+COUNTIFS('Event Parameters'!$B$2:$B$47,A57,'Event Parameters'!$J$2:$J$47,"Blocked")&gt;0,"Blocked",IF(COUNTIFS('Test Cases'!$B$2:$B$240,A57,'Test Cases'!$M$2:$M$240,"Not Run")+COUNTIFS('Event Parameters'!$B$2:$B$47,A57,'Event Parameters'!$J$2:$J$47,"Not Run")&gt;0,"Not Run",IF(COUNTIFS('Test Cases'!$B$2:$B$240,A57,'Test Cases'!$M$2:$M$240,"Pass")+COUNTIFS('Event Parameters'!$B$2:$B$47,A57,'Event Parameters'!$J$2:$J$47,"Pass")&gt;0,"Pass","N/A"))))</f>
        <v/>
      </c>
      <c r="G57" s="3" t="inlineStr"/>
    </row>
    <row r="58">
      <c r="A58" s="2" t="inlineStr">
        <is>
          <t>F-057</t>
        </is>
      </c>
      <c r="B58" s="2" t="inlineStr">
        <is>
          <t>Root Cause Explorer</t>
        </is>
      </c>
      <c r="C58" s="2" t="inlineStr">
        <is>
          <t>Diagnostic period/sector exploration</t>
        </is>
      </c>
      <c r="D58" s="2" t="inlineStr">
        <is>
          <t>Explore all diagnostic dimensions from selected real data.</t>
        </is>
      </c>
      <c r="E58" s="2" t="inlineStr">
        <is>
          <t>TC-161, TC-162, TC-163</t>
        </is>
      </c>
      <c r="F58" s="2">
        <f>IF(COUNTIFS('Test Cases'!$B$2:$B$240,A58,'Test Cases'!$M$2:$M$240,"Fail")+COUNTIFS('Event Parameters'!$B$2:$B$47,A58,'Event Parameters'!$J$2:$J$47,"Fail")&gt;0,"Fail",IF(COUNTIFS('Test Cases'!$B$2:$B$240,A58,'Test Cases'!$M$2:$M$240,"Blocked")+COUNTIFS('Event Parameters'!$B$2:$B$47,A58,'Event Parameters'!$J$2:$J$47,"Blocked")&gt;0,"Blocked",IF(COUNTIFS('Test Cases'!$B$2:$B$240,A58,'Test Cases'!$M$2:$M$240,"Not Run")+COUNTIFS('Event Parameters'!$B$2:$B$47,A58,'Event Parameters'!$J$2:$J$47,"Not Run")&gt;0,"Not Run",IF(COUNTIFS('Test Cases'!$B$2:$B$240,A58,'Test Cases'!$M$2:$M$240,"Pass")+COUNTIFS('Event Parameters'!$B$2:$B$47,A58,'Event Parameters'!$J$2:$J$47,"Pass")&gt;0,"Pass","N/A"))))</f>
        <v/>
      </c>
      <c r="G58" s="2" t="inlineStr"/>
    </row>
    <row r="59">
      <c r="A59" s="3" t="inlineStr">
        <is>
          <t>F-058</t>
        </is>
      </c>
      <c r="B59" s="3" t="inlineStr">
        <is>
          <t>Root Cause Explorer</t>
        </is>
      </c>
      <c r="C59" s="3" t="inlineStr">
        <is>
          <t>Revenue waterfall and decomposition</t>
        </is>
      </c>
      <c r="D59" s="3" t="inlineStr">
        <is>
          <t>Reconcile recorded revenue changes without false causal claims.</t>
        </is>
      </c>
      <c r="E59" s="3" t="inlineStr">
        <is>
          <t>TC-164, TC-165, TC-166</t>
        </is>
      </c>
      <c r="F59" s="3">
        <f>IF(COUNTIFS('Test Cases'!$B$2:$B$240,A59,'Test Cases'!$M$2:$M$240,"Fail")+COUNTIFS('Event Parameters'!$B$2:$B$47,A59,'Event Parameters'!$J$2:$J$47,"Fail")&gt;0,"Fail",IF(COUNTIFS('Test Cases'!$B$2:$B$240,A59,'Test Cases'!$M$2:$M$240,"Blocked")+COUNTIFS('Event Parameters'!$B$2:$B$47,A59,'Event Parameters'!$J$2:$J$47,"Blocked")&gt;0,"Blocked",IF(COUNTIFS('Test Cases'!$B$2:$B$240,A59,'Test Cases'!$M$2:$M$240,"Not Run")+COUNTIFS('Event Parameters'!$B$2:$B$47,A59,'Event Parameters'!$J$2:$J$47,"Not Run")&gt;0,"Not Run",IF(COUNTIFS('Test Cases'!$B$2:$B$240,A59,'Test Cases'!$M$2:$M$240,"Pass")+COUNTIFS('Event Parameters'!$B$2:$B$47,A59,'Event Parameters'!$J$2:$J$47,"Pass")&gt;0,"Pass","N/A"))))</f>
        <v/>
      </c>
      <c r="G59" s="3" t="inlineStr"/>
    </row>
    <row r="60">
      <c r="A60" s="2" t="inlineStr">
        <is>
          <t>F-059</t>
        </is>
      </c>
      <c r="B60" s="2" t="inlineStr">
        <is>
          <t>Root Cause Explorer</t>
        </is>
      </c>
      <c r="C60" s="2" t="inlineStr">
        <is>
          <t>Weather, time, discounts and evidence limits</t>
        </is>
      </c>
      <c r="D60" s="2" t="inlineStr">
        <is>
          <t>Interpret diagnostics using available observed evidence.</t>
        </is>
      </c>
      <c r="E60" s="2" t="inlineStr">
        <is>
          <t>TC-167, TC-168, TC-169</t>
        </is>
      </c>
      <c r="F60" s="2">
        <f>IF(COUNTIFS('Test Cases'!$B$2:$B$240,A60,'Test Cases'!$M$2:$M$240,"Fail")+COUNTIFS('Event Parameters'!$B$2:$B$47,A60,'Event Parameters'!$J$2:$J$47,"Fail")&gt;0,"Fail",IF(COUNTIFS('Test Cases'!$B$2:$B$240,A60,'Test Cases'!$M$2:$M$240,"Blocked")+COUNTIFS('Event Parameters'!$B$2:$B$47,A60,'Event Parameters'!$J$2:$J$47,"Blocked")&gt;0,"Blocked",IF(COUNTIFS('Test Cases'!$B$2:$B$240,A60,'Test Cases'!$M$2:$M$240,"Not Run")+COUNTIFS('Event Parameters'!$B$2:$B$47,A60,'Event Parameters'!$J$2:$J$47,"Not Run")&gt;0,"Not Run",IF(COUNTIFS('Test Cases'!$B$2:$B$240,A60,'Test Cases'!$M$2:$M$240,"Pass")+COUNTIFS('Event Parameters'!$B$2:$B$47,A60,'Event Parameters'!$J$2:$J$47,"Pass")&gt;0,"Pass","N/A"))))</f>
        <v/>
      </c>
      <c r="G60" s="2" t="inlineStr"/>
    </row>
    <row r="61">
      <c r="A61" s="3" t="inlineStr">
        <is>
          <t>F-060</t>
        </is>
      </c>
      <c r="B61" s="3" t="inlineStr">
        <is>
          <t>Smart Reports</t>
        </is>
      </c>
      <c r="C61" s="3" t="inlineStr">
        <is>
          <t>Report generation and source scope</t>
        </is>
      </c>
      <c r="D61" s="3" t="inlineStr">
        <is>
          <t>Create saved reports from valid sector/date selection.</t>
        </is>
      </c>
      <c r="E61" s="3" t="inlineStr">
        <is>
          <t>TC-170, TC-171, TC-172</t>
        </is>
      </c>
      <c r="F61" s="3">
        <f>IF(COUNTIFS('Test Cases'!$B$2:$B$240,A61,'Test Cases'!$M$2:$M$240,"Fail")+COUNTIFS('Event Parameters'!$B$2:$B$47,A61,'Event Parameters'!$J$2:$J$47,"Fail")&gt;0,"Fail",IF(COUNTIFS('Test Cases'!$B$2:$B$240,A61,'Test Cases'!$M$2:$M$240,"Blocked")+COUNTIFS('Event Parameters'!$B$2:$B$47,A61,'Event Parameters'!$J$2:$J$47,"Blocked")&gt;0,"Blocked",IF(COUNTIFS('Test Cases'!$B$2:$B$240,A61,'Test Cases'!$M$2:$M$240,"Not Run")+COUNTIFS('Event Parameters'!$B$2:$B$47,A61,'Event Parameters'!$J$2:$J$47,"Not Run")&gt;0,"Not Run",IF(COUNTIFS('Test Cases'!$B$2:$B$240,A61,'Test Cases'!$M$2:$M$240,"Pass")+COUNTIFS('Event Parameters'!$B$2:$B$47,A61,'Event Parameters'!$J$2:$J$47,"Pass")&gt;0,"Pass","N/A"))))</f>
        <v/>
      </c>
      <c r="G61" s="3" t="inlineStr"/>
    </row>
    <row r="62">
      <c r="A62" s="2" t="inlineStr">
        <is>
          <t>F-061</t>
        </is>
      </c>
      <c r="B62" s="2" t="inlineStr">
        <is>
          <t>Smart Reports</t>
        </is>
      </c>
      <c r="C62" s="2" t="inlineStr">
        <is>
          <t>Report export and deletion</t>
        </is>
      </c>
      <c r="D62" s="2" t="inlineStr">
        <is>
          <t>Export complete selected report and safely manage saved records.</t>
        </is>
      </c>
      <c r="E62" s="2" t="inlineStr">
        <is>
          <t>TC-173, TC-174, TC-175</t>
        </is>
      </c>
      <c r="F62" s="2">
        <f>IF(COUNTIFS('Test Cases'!$B$2:$B$240,A62,'Test Cases'!$M$2:$M$240,"Fail")+COUNTIFS('Event Parameters'!$B$2:$B$47,A62,'Event Parameters'!$J$2:$J$47,"Fail")&gt;0,"Fail",IF(COUNTIFS('Test Cases'!$B$2:$B$240,A62,'Test Cases'!$M$2:$M$240,"Blocked")+COUNTIFS('Event Parameters'!$B$2:$B$47,A62,'Event Parameters'!$J$2:$J$47,"Blocked")&gt;0,"Blocked",IF(COUNTIFS('Test Cases'!$B$2:$B$240,A62,'Test Cases'!$M$2:$M$240,"Not Run")+COUNTIFS('Event Parameters'!$B$2:$B$47,A62,'Event Parameters'!$J$2:$J$47,"Not Run")&gt;0,"Not Run",IF(COUNTIFS('Test Cases'!$B$2:$B$240,A62,'Test Cases'!$M$2:$M$240,"Pass")+COUNTIFS('Event Parameters'!$B$2:$B$47,A62,'Event Parameters'!$J$2:$J$47,"Pass")&gt;0,"Pass","N/A"))))</f>
        <v/>
      </c>
      <c r="G62" s="2" t="inlineStr"/>
    </row>
    <row r="63">
      <c r="A63" s="3" t="inlineStr">
        <is>
          <t>F-062</t>
        </is>
      </c>
      <c r="B63" s="3" t="inlineStr">
        <is>
          <t>Smart Reports</t>
        </is>
      </c>
      <c r="C63" s="3" t="inlineStr">
        <is>
          <t>Report UAT feedback</t>
        </is>
      </c>
      <c r="D63" s="3" t="inlineStr">
        <is>
          <t>Save accuracy/usefulness ratings and qualitative feedback.</t>
        </is>
      </c>
      <c r="E63" s="3" t="inlineStr">
        <is>
          <t>TC-176, TC-177, TC-178</t>
        </is>
      </c>
      <c r="F63" s="3">
        <f>IF(COUNTIFS('Test Cases'!$B$2:$B$240,A63,'Test Cases'!$M$2:$M$240,"Fail")+COUNTIFS('Event Parameters'!$B$2:$B$47,A63,'Event Parameters'!$J$2:$J$47,"Fail")&gt;0,"Fail",IF(COUNTIFS('Test Cases'!$B$2:$B$240,A63,'Test Cases'!$M$2:$M$240,"Blocked")+COUNTIFS('Event Parameters'!$B$2:$B$47,A63,'Event Parameters'!$J$2:$J$47,"Blocked")&gt;0,"Blocked",IF(COUNTIFS('Test Cases'!$B$2:$B$240,A63,'Test Cases'!$M$2:$M$240,"Not Run")+COUNTIFS('Event Parameters'!$B$2:$B$47,A63,'Event Parameters'!$J$2:$J$47,"Not Run")&gt;0,"Not Run",IF(COUNTIFS('Test Cases'!$B$2:$B$240,A63,'Test Cases'!$M$2:$M$240,"Pass")+COUNTIFS('Event Parameters'!$B$2:$B$47,A63,'Event Parameters'!$J$2:$J$47,"Pass")&gt;0,"Pass","N/A"))))</f>
        <v/>
      </c>
      <c r="G63" s="3" t="inlineStr"/>
    </row>
    <row r="64">
      <c r="A64" s="2" t="inlineStr">
        <is>
          <t>F-063</t>
        </is>
      </c>
      <c r="B64" s="2" t="inlineStr">
        <is>
          <t>Feedback</t>
        </is>
      </c>
      <c r="C64" s="2" t="inlineStr">
        <is>
          <t>Recommendation completion and learning feedback</t>
        </is>
      </c>
      <c r="D64" s="2" t="inlineStr">
        <is>
          <t>Track active/completed recommendations and feedback consistently.</t>
        </is>
      </c>
      <c r="E64" s="2" t="inlineStr">
        <is>
          <t>TC-179, TC-180, TC-181</t>
        </is>
      </c>
      <c r="F64" s="2">
        <f>IF(COUNTIFS('Test Cases'!$B$2:$B$240,A64,'Test Cases'!$M$2:$M$240,"Fail")+COUNTIFS('Event Parameters'!$B$2:$B$47,A64,'Event Parameters'!$J$2:$J$47,"Fail")&gt;0,"Fail",IF(COUNTIFS('Test Cases'!$B$2:$B$240,A64,'Test Cases'!$M$2:$M$240,"Blocked")+COUNTIFS('Event Parameters'!$B$2:$B$47,A64,'Event Parameters'!$J$2:$J$47,"Blocked")&gt;0,"Blocked",IF(COUNTIFS('Test Cases'!$B$2:$B$240,A64,'Test Cases'!$M$2:$M$240,"Not Run")+COUNTIFS('Event Parameters'!$B$2:$B$47,A64,'Event Parameters'!$J$2:$J$47,"Not Run")&gt;0,"Not Run",IF(COUNTIFS('Test Cases'!$B$2:$B$240,A64,'Test Cases'!$M$2:$M$240,"Pass")+COUNTIFS('Event Parameters'!$B$2:$B$47,A64,'Event Parameters'!$J$2:$J$47,"Pass")&gt;0,"Pass","N/A"))))</f>
        <v/>
      </c>
      <c r="G64" s="2" t="inlineStr"/>
    </row>
    <row r="65">
      <c r="A65" s="3" t="inlineStr">
        <is>
          <t>F-064</t>
        </is>
      </c>
      <c r="B65" s="3" t="inlineStr">
        <is>
          <t>Feedback</t>
        </is>
      </c>
      <c r="C65" s="3" t="inlineStr">
        <is>
          <t>System recalibration</t>
        </is>
      </c>
      <c r="D65" s="3" t="inlineStr">
        <is>
          <t>Process feedback-driven recalibration with real status.</t>
        </is>
      </c>
      <c r="E65" s="3" t="inlineStr">
        <is>
          <t>TC-182, TC-183, TC-184</t>
        </is>
      </c>
      <c r="F65" s="3">
        <f>IF(COUNTIFS('Test Cases'!$B$2:$B$240,A65,'Test Cases'!$M$2:$M$240,"Fail")+COUNTIFS('Event Parameters'!$B$2:$B$47,A65,'Event Parameters'!$J$2:$J$47,"Fail")&gt;0,"Fail",IF(COUNTIFS('Test Cases'!$B$2:$B$240,A65,'Test Cases'!$M$2:$M$240,"Blocked")+COUNTIFS('Event Parameters'!$B$2:$B$47,A65,'Event Parameters'!$J$2:$J$47,"Blocked")&gt;0,"Blocked",IF(COUNTIFS('Test Cases'!$B$2:$B$240,A65,'Test Cases'!$M$2:$M$240,"Not Run")+COUNTIFS('Event Parameters'!$B$2:$B$47,A65,'Event Parameters'!$J$2:$J$47,"Not Run")&gt;0,"Not Run",IF(COUNTIFS('Test Cases'!$B$2:$B$240,A65,'Test Cases'!$M$2:$M$240,"Pass")+COUNTIFS('Event Parameters'!$B$2:$B$47,A65,'Event Parameters'!$J$2:$J$47,"Pass")&gt;0,"Pass","N/A"))))</f>
        <v/>
      </c>
      <c r="G65" s="3" t="inlineStr"/>
    </row>
    <row r="66">
      <c r="A66" s="2" t="inlineStr">
        <is>
          <t>F-065</t>
        </is>
      </c>
      <c r="B66" s="2" t="inlineStr">
        <is>
          <t>Audit</t>
        </is>
      </c>
      <c r="C66" s="2" t="inlineStr">
        <is>
          <t>Audit exploration and traceability</t>
        </is>
      </c>
      <c r="D66" s="2" t="inlineStr">
        <is>
          <t>Locate accurate owner/system actions by scope and filters.</t>
        </is>
      </c>
      <c r="E66" s="2" t="inlineStr">
        <is>
          <t>TC-185, TC-186, TC-187</t>
        </is>
      </c>
      <c r="F66" s="2">
        <f>IF(COUNTIFS('Test Cases'!$B$2:$B$240,A66,'Test Cases'!$M$2:$M$240,"Fail")+COUNTIFS('Event Parameters'!$B$2:$B$47,A66,'Event Parameters'!$J$2:$J$47,"Fail")&gt;0,"Fail",IF(COUNTIFS('Test Cases'!$B$2:$B$240,A66,'Test Cases'!$M$2:$M$240,"Blocked")+COUNTIFS('Event Parameters'!$B$2:$B$47,A66,'Event Parameters'!$J$2:$J$47,"Blocked")&gt;0,"Blocked",IF(COUNTIFS('Test Cases'!$B$2:$B$240,A66,'Test Cases'!$M$2:$M$240,"Not Run")+COUNTIFS('Event Parameters'!$B$2:$B$47,A66,'Event Parameters'!$J$2:$J$47,"Not Run")&gt;0,"Not Run",IF(COUNTIFS('Test Cases'!$B$2:$B$240,A66,'Test Cases'!$M$2:$M$240,"Pass")+COUNTIFS('Event Parameters'!$B$2:$B$47,A66,'Event Parameters'!$J$2:$J$47,"Pass")&gt;0,"Pass","N/A"))))</f>
        <v/>
      </c>
      <c r="G66" s="2" t="inlineStr"/>
    </row>
    <row r="67">
      <c r="A67" s="3" t="inlineStr">
        <is>
          <t>F-066</t>
        </is>
      </c>
      <c r="B67" s="3" t="inlineStr">
        <is>
          <t>Audit</t>
        </is>
      </c>
      <c r="C67" s="3" t="inlineStr">
        <is>
          <t>Filtered audit CSV export</t>
        </is>
      </c>
      <c r="D67" s="3" t="inlineStr">
        <is>
          <t>Export the intended audit scope safely.</t>
        </is>
      </c>
      <c r="E67" s="3" t="inlineStr">
        <is>
          <t>TC-188, TC-189, TC-190</t>
        </is>
      </c>
      <c r="F67" s="3">
        <f>IF(COUNTIFS('Test Cases'!$B$2:$B$240,A67,'Test Cases'!$M$2:$M$240,"Fail")+COUNTIFS('Event Parameters'!$B$2:$B$47,A67,'Event Parameters'!$J$2:$J$47,"Fail")&gt;0,"Fail",IF(COUNTIFS('Test Cases'!$B$2:$B$240,A67,'Test Cases'!$M$2:$M$240,"Blocked")+COUNTIFS('Event Parameters'!$B$2:$B$47,A67,'Event Parameters'!$J$2:$J$47,"Blocked")&gt;0,"Blocked",IF(COUNTIFS('Test Cases'!$B$2:$B$240,A67,'Test Cases'!$M$2:$M$240,"Not Run")+COUNTIFS('Event Parameters'!$B$2:$B$47,A67,'Event Parameters'!$J$2:$J$47,"Not Run")&gt;0,"Not Run",IF(COUNTIFS('Test Cases'!$B$2:$B$240,A67,'Test Cases'!$M$2:$M$240,"Pass")+COUNTIFS('Event Parameters'!$B$2:$B$47,A67,'Event Parameters'!$J$2:$J$47,"Pass")&gt;0,"Pass","N/A"))))</f>
        <v/>
      </c>
      <c r="G67" s="3" t="inlineStr"/>
    </row>
    <row r="68">
      <c r="A68" s="2" t="inlineStr">
        <is>
          <t>F-067</t>
        </is>
      </c>
      <c r="B68" s="2" t="inlineStr">
        <is>
          <t>Settings</t>
        </is>
      </c>
      <c r="C68" s="2" t="inlineStr">
        <is>
          <t>Business profile and operating preferences</t>
        </is>
      </c>
      <c r="D68" s="2" t="inlineStr">
        <is>
          <t>Save supported profile/hours/timezone/currency settings.</t>
        </is>
      </c>
      <c r="E68" s="2" t="inlineStr">
        <is>
          <t>TC-191, TC-192, TC-193</t>
        </is>
      </c>
      <c r="F68" s="2">
        <f>IF(COUNTIFS('Test Cases'!$B$2:$B$240,A68,'Test Cases'!$M$2:$M$240,"Fail")+COUNTIFS('Event Parameters'!$B$2:$B$47,A68,'Event Parameters'!$J$2:$J$47,"Fail")&gt;0,"Fail",IF(COUNTIFS('Test Cases'!$B$2:$B$240,A68,'Test Cases'!$M$2:$M$240,"Blocked")+COUNTIFS('Event Parameters'!$B$2:$B$47,A68,'Event Parameters'!$J$2:$J$47,"Blocked")&gt;0,"Blocked",IF(COUNTIFS('Test Cases'!$B$2:$B$240,A68,'Test Cases'!$M$2:$M$240,"Not Run")+COUNTIFS('Event Parameters'!$B$2:$B$47,A68,'Event Parameters'!$J$2:$J$47,"Not Run")&gt;0,"Not Run",IF(COUNTIFS('Test Cases'!$B$2:$B$240,A68,'Test Cases'!$M$2:$M$240,"Pass")+COUNTIFS('Event Parameters'!$B$2:$B$47,A68,'Event Parameters'!$J$2:$J$47,"Pass")&gt;0,"Pass","N/A"))))</f>
        <v/>
      </c>
      <c r="G68" s="2" t="inlineStr"/>
    </row>
    <row r="69">
      <c r="A69" s="3" t="inlineStr">
        <is>
          <t>F-068</t>
        </is>
      </c>
      <c r="B69" s="3" t="inlineStr">
        <is>
          <t>Settings</t>
        </is>
      </c>
      <c r="C69" s="3" t="inlineStr">
        <is>
          <t>Theme and dashboard personalization</t>
        </is>
      </c>
      <c r="D69" s="3" t="inlineStr">
        <is>
          <t>Persist readable theme/layout preferences.</t>
        </is>
      </c>
      <c r="E69" s="3" t="inlineStr">
        <is>
          <t>TC-194, TC-195, TC-196</t>
        </is>
      </c>
      <c r="F69" s="3">
        <f>IF(COUNTIFS('Test Cases'!$B$2:$B$240,A69,'Test Cases'!$M$2:$M$240,"Fail")+COUNTIFS('Event Parameters'!$B$2:$B$47,A69,'Event Parameters'!$J$2:$J$47,"Fail")&gt;0,"Fail",IF(COUNTIFS('Test Cases'!$B$2:$B$240,A69,'Test Cases'!$M$2:$M$240,"Blocked")+COUNTIFS('Event Parameters'!$B$2:$B$47,A69,'Event Parameters'!$J$2:$J$47,"Blocked")&gt;0,"Blocked",IF(COUNTIFS('Test Cases'!$B$2:$B$240,A69,'Test Cases'!$M$2:$M$240,"Not Run")+COUNTIFS('Event Parameters'!$B$2:$B$47,A69,'Event Parameters'!$J$2:$J$47,"Not Run")&gt;0,"Not Run",IF(COUNTIFS('Test Cases'!$B$2:$B$240,A69,'Test Cases'!$M$2:$M$240,"Pass")+COUNTIFS('Event Parameters'!$B$2:$B$47,A69,'Event Parameters'!$J$2:$J$47,"Pass")&gt;0,"Pass","N/A"))))</f>
        <v/>
      </c>
      <c r="G69" s="3" t="inlineStr"/>
    </row>
    <row r="70">
      <c r="A70" s="2" t="inlineStr">
        <is>
          <t>F-069</t>
        </is>
      </c>
      <c r="B70" s="2" t="inlineStr">
        <is>
          <t>Settings</t>
        </is>
      </c>
      <c r="C70" s="2" t="inlineStr">
        <is>
          <t>Notification preferences and alert thresholds</t>
        </is>
      </c>
      <c r="D70" s="2" t="inlineStr">
        <is>
          <t>Apply configurable notification/alert rules.</t>
        </is>
      </c>
      <c r="E70" s="2" t="inlineStr">
        <is>
          <t>TC-197, TC-198, TC-199</t>
        </is>
      </c>
      <c r="F70" s="2">
        <f>IF(COUNTIFS('Test Cases'!$B$2:$B$240,A70,'Test Cases'!$M$2:$M$240,"Fail")+COUNTIFS('Event Parameters'!$B$2:$B$47,A70,'Event Parameters'!$J$2:$J$47,"Fail")&gt;0,"Fail",IF(COUNTIFS('Test Cases'!$B$2:$B$240,A70,'Test Cases'!$M$2:$M$240,"Blocked")+COUNTIFS('Event Parameters'!$B$2:$B$47,A70,'Event Parameters'!$J$2:$J$47,"Blocked")&gt;0,"Blocked",IF(COUNTIFS('Test Cases'!$B$2:$B$240,A70,'Test Cases'!$M$2:$M$240,"Not Run")+COUNTIFS('Event Parameters'!$B$2:$B$47,A70,'Event Parameters'!$J$2:$J$47,"Not Run")&gt;0,"Not Run",IF(COUNTIFS('Test Cases'!$B$2:$B$240,A70,'Test Cases'!$M$2:$M$240,"Pass")+COUNTIFS('Event Parameters'!$B$2:$B$47,A70,'Event Parameters'!$J$2:$J$47,"Pass")&gt;0,"Pass","N/A"))))</f>
        <v/>
      </c>
      <c r="G70" s="2" t="inlineStr"/>
    </row>
    <row r="71">
      <c r="A71" s="3" t="inlineStr">
        <is>
          <t>F-070</t>
        </is>
      </c>
      <c r="B71" s="3" t="inlineStr">
        <is>
          <t>Settings</t>
        </is>
      </c>
      <c r="C71" s="3" t="inlineStr">
        <is>
          <t>Dataset export</t>
        </is>
      </c>
      <c r="D71" s="3" t="inlineStr">
        <is>
          <t>Download selected supported system datasets.</t>
        </is>
      </c>
      <c r="E71" s="3" t="inlineStr">
        <is>
          <t>TC-200, TC-201, TC-202</t>
        </is>
      </c>
      <c r="F71" s="3">
        <f>IF(COUNTIFS('Test Cases'!$B$2:$B$240,A71,'Test Cases'!$M$2:$M$240,"Fail")+COUNTIFS('Event Parameters'!$B$2:$B$47,A71,'Event Parameters'!$J$2:$J$47,"Fail")&gt;0,"Fail",IF(COUNTIFS('Test Cases'!$B$2:$B$240,A71,'Test Cases'!$M$2:$M$240,"Blocked")+COUNTIFS('Event Parameters'!$B$2:$B$47,A71,'Event Parameters'!$J$2:$J$47,"Blocked")&gt;0,"Blocked",IF(COUNTIFS('Test Cases'!$B$2:$B$240,A71,'Test Cases'!$M$2:$M$240,"Not Run")+COUNTIFS('Event Parameters'!$B$2:$B$47,A71,'Event Parameters'!$J$2:$J$47,"Not Run")&gt;0,"Not Run",IF(COUNTIFS('Test Cases'!$B$2:$B$240,A71,'Test Cases'!$M$2:$M$240,"Pass")+COUNTIFS('Event Parameters'!$B$2:$B$47,A71,'Event Parameters'!$J$2:$J$47,"Pass")&gt;0,"Pass","N/A"))))</f>
        <v/>
      </c>
      <c r="G71" s="3" t="inlineStr"/>
    </row>
    <row r="72">
      <c r="A72" s="2" t="inlineStr">
        <is>
          <t>F-071</t>
        </is>
      </c>
      <c r="B72" s="2" t="inlineStr">
        <is>
          <t>Settings</t>
        </is>
      </c>
      <c r="C72" s="2" t="inlineStr">
        <is>
          <t>Data retention policy</t>
        </is>
      </c>
      <c r="D72" s="2" t="inlineStr">
        <is>
          <t>Apply confirmed retention without accidental data loss.</t>
        </is>
      </c>
      <c r="E72" s="2" t="inlineStr">
        <is>
          <t>TC-203, TC-204, TC-205</t>
        </is>
      </c>
      <c r="F72" s="2">
        <f>IF(COUNTIFS('Test Cases'!$B$2:$B$240,A72,'Test Cases'!$M$2:$M$240,"Fail")+COUNTIFS('Event Parameters'!$B$2:$B$47,A72,'Event Parameters'!$J$2:$J$47,"Fail")&gt;0,"Fail",IF(COUNTIFS('Test Cases'!$B$2:$B$240,A72,'Test Cases'!$M$2:$M$240,"Blocked")+COUNTIFS('Event Parameters'!$B$2:$B$47,A72,'Event Parameters'!$J$2:$J$47,"Blocked")&gt;0,"Blocked",IF(COUNTIFS('Test Cases'!$B$2:$B$240,A72,'Test Cases'!$M$2:$M$240,"Not Run")+COUNTIFS('Event Parameters'!$B$2:$B$47,A72,'Event Parameters'!$J$2:$J$47,"Not Run")&gt;0,"Not Run",IF(COUNTIFS('Test Cases'!$B$2:$B$240,A72,'Test Cases'!$M$2:$M$240,"Pass")+COUNTIFS('Event Parameters'!$B$2:$B$47,A72,'Event Parameters'!$J$2:$J$47,"Pass")&gt;0,"Pass","N/A"))))</f>
        <v/>
      </c>
      <c r="G72" s="2" t="inlineStr"/>
    </row>
    <row r="73">
      <c r="A73" s="3" t="inlineStr">
        <is>
          <t>F-072</t>
        </is>
      </c>
      <c r="B73" s="3" t="inlineStr">
        <is>
          <t>Settings</t>
        </is>
      </c>
      <c r="C73" s="3" t="inlineStr">
        <is>
          <t>Password and session security settings</t>
        </is>
      </c>
      <c r="D73" s="3" t="inlineStr">
        <is>
          <t>Update account security preferences through verified actions.</t>
        </is>
      </c>
      <c r="E73" s="3" t="inlineStr">
        <is>
          <t>TC-206, TC-207, TC-208</t>
        </is>
      </c>
      <c r="F73" s="3">
        <f>IF(COUNTIFS('Test Cases'!$B$2:$B$240,A73,'Test Cases'!$M$2:$M$240,"Fail")+COUNTIFS('Event Parameters'!$B$2:$B$47,A73,'Event Parameters'!$J$2:$J$47,"Fail")&gt;0,"Fail",IF(COUNTIFS('Test Cases'!$B$2:$B$240,A73,'Test Cases'!$M$2:$M$240,"Blocked")+COUNTIFS('Event Parameters'!$B$2:$B$47,A73,'Event Parameters'!$J$2:$J$47,"Blocked")&gt;0,"Blocked",IF(COUNTIFS('Test Cases'!$B$2:$B$240,A73,'Test Cases'!$M$2:$M$240,"Not Run")+COUNTIFS('Event Parameters'!$B$2:$B$47,A73,'Event Parameters'!$J$2:$J$47,"Not Run")&gt;0,"Not Run",IF(COUNTIFS('Test Cases'!$B$2:$B$240,A73,'Test Cases'!$M$2:$M$240,"Pass")+COUNTIFS('Event Parameters'!$B$2:$B$47,A73,'Event Parameters'!$J$2:$J$47,"Pass")&gt;0,"Pass","N/A"))))</f>
        <v/>
      </c>
      <c r="G73" s="3" t="inlineStr"/>
    </row>
    <row r="74">
      <c r="A74" s="2" t="inlineStr">
        <is>
          <t>F-073</t>
        </is>
      </c>
      <c r="B74" s="2" t="inlineStr">
        <is>
          <t>WOOF Insights</t>
        </is>
      </c>
      <c r="C74" s="2" t="inlineStr">
        <is>
          <t>Contextual GLM business explanations</t>
        </is>
      </c>
      <c r="D74" s="2" t="inlineStr">
        <is>
          <t>Explain supplied analytics clearly and accurately.</t>
        </is>
      </c>
      <c r="E74" s="2" t="inlineStr">
        <is>
          <t>TC-209, TC-210, TC-211</t>
        </is>
      </c>
      <c r="F74" s="2">
        <f>IF(COUNTIFS('Test Cases'!$B$2:$B$240,A74,'Test Cases'!$M$2:$M$240,"Fail")+COUNTIFS('Event Parameters'!$B$2:$B$47,A74,'Event Parameters'!$J$2:$J$47,"Fail")&gt;0,"Fail",IF(COUNTIFS('Test Cases'!$B$2:$B$240,A74,'Test Cases'!$M$2:$M$240,"Blocked")+COUNTIFS('Event Parameters'!$B$2:$B$47,A74,'Event Parameters'!$J$2:$J$47,"Blocked")&gt;0,"Blocked",IF(COUNTIFS('Test Cases'!$B$2:$B$240,A74,'Test Cases'!$M$2:$M$240,"Not Run")+COUNTIFS('Event Parameters'!$B$2:$B$47,A74,'Event Parameters'!$J$2:$J$47,"Not Run")&gt;0,"Not Run",IF(COUNTIFS('Test Cases'!$B$2:$B$240,A74,'Test Cases'!$M$2:$M$240,"Pass")+COUNTIFS('Event Parameters'!$B$2:$B$47,A74,'Event Parameters'!$J$2:$J$47,"Pass")&gt;0,"Pass","N/A"))))</f>
        <v/>
      </c>
      <c r="G74" s="2" t="inlineStr"/>
    </row>
    <row r="75">
      <c r="A75" s="3" t="inlineStr">
        <is>
          <t>F-074</t>
        </is>
      </c>
      <c r="B75" s="3" t="inlineStr">
        <is>
          <t>WOOF Chatbot</t>
        </is>
      </c>
      <c r="C75" s="3" t="inlineStr">
        <is>
          <t>Dashboard conversational assistance</t>
        </is>
      </c>
      <c r="D75" s="3" t="inlineStr">
        <is>
          <t>Answer relevant questions from legitimate context.</t>
        </is>
      </c>
      <c r="E75" s="3" t="inlineStr">
        <is>
          <t>TC-212, TC-213, TC-214</t>
        </is>
      </c>
      <c r="F75" s="3">
        <f>IF(COUNTIFS('Test Cases'!$B$2:$B$240,A75,'Test Cases'!$M$2:$M$240,"Fail")+COUNTIFS('Event Parameters'!$B$2:$B$47,A75,'Event Parameters'!$J$2:$J$47,"Fail")&gt;0,"Fail",IF(COUNTIFS('Test Cases'!$B$2:$B$240,A75,'Test Cases'!$M$2:$M$240,"Blocked")+COUNTIFS('Event Parameters'!$B$2:$B$47,A75,'Event Parameters'!$J$2:$J$47,"Blocked")&gt;0,"Blocked",IF(COUNTIFS('Test Cases'!$B$2:$B$240,A75,'Test Cases'!$M$2:$M$240,"Not Run")+COUNTIFS('Event Parameters'!$B$2:$B$47,A75,'Event Parameters'!$J$2:$J$47,"Not Run")&gt;0,"Not Run",IF(COUNTIFS('Test Cases'!$B$2:$B$240,A75,'Test Cases'!$M$2:$M$240,"Pass")+COUNTIFS('Event Parameters'!$B$2:$B$47,A75,'Event Parameters'!$J$2:$J$47,"Pass")&gt;0,"Pass","N/A"))))</f>
        <v/>
      </c>
      <c r="G75" s="3" t="inlineStr"/>
    </row>
    <row r="76">
      <c r="A76" s="2" t="inlineStr">
        <is>
          <t>F-075</t>
        </is>
      </c>
      <c r="B76" s="2" t="inlineStr">
        <is>
          <t>Additional Routes</t>
        </is>
      </c>
      <c r="C76" s="2" t="inlineStr">
        <is>
          <t>Additional analytical routes</t>
        </is>
      </c>
      <c r="D76" s="2" t="inlineStr">
        <is>
          <t>Verify release-scoped pages beyond sidebar.</t>
        </is>
      </c>
      <c r="E76" s="2" t="inlineStr">
        <is>
          <t>TC-215, TC-216, TC-217</t>
        </is>
      </c>
      <c r="F76" s="2">
        <f>IF(COUNTIFS('Test Cases'!$B$2:$B$240,A76,'Test Cases'!$M$2:$M$240,"Fail")+COUNTIFS('Event Parameters'!$B$2:$B$47,A76,'Event Parameters'!$J$2:$J$47,"Fail")&gt;0,"Fail",IF(COUNTIFS('Test Cases'!$B$2:$B$240,A76,'Test Cases'!$M$2:$M$240,"Blocked")+COUNTIFS('Event Parameters'!$B$2:$B$47,A76,'Event Parameters'!$J$2:$J$47,"Blocked")&gt;0,"Blocked",IF(COUNTIFS('Test Cases'!$B$2:$B$240,A76,'Test Cases'!$M$2:$M$240,"Not Run")+COUNTIFS('Event Parameters'!$B$2:$B$47,A76,'Event Parameters'!$J$2:$J$47,"Not Run")&gt;0,"Not Run",IF(COUNTIFS('Test Cases'!$B$2:$B$240,A76,'Test Cases'!$M$2:$M$240,"Pass")+COUNTIFS('Event Parameters'!$B$2:$B$47,A76,'Event Parameters'!$J$2:$J$47,"Pass")&gt;0,"Pass","N/A"))))</f>
        <v/>
      </c>
      <c r="G76" s="2" t="inlineStr"/>
    </row>
    <row r="77">
      <c r="A77" s="3" t="inlineStr">
        <is>
          <t>F-076</t>
        </is>
      </c>
      <c r="B77" s="3" t="inlineStr">
        <is>
          <t>Desktop App</t>
        </is>
      </c>
      <c r="C77" s="3" t="inlineStr">
        <is>
          <t>Install, update and packaged launch</t>
        </is>
      </c>
      <c r="D77" s="3" t="inlineStr">
        <is>
          <t>Run correct packaged app independently of frontend dev server.</t>
        </is>
      </c>
      <c r="E77" s="3" t="inlineStr">
        <is>
          <t>TC-218, TC-219, TC-220</t>
        </is>
      </c>
      <c r="F77" s="3">
        <f>IF(COUNTIFS('Test Cases'!$B$2:$B$240,A77,'Test Cases'!$M$2:$M$240,"Fail")+COUNTIFS('Event Parameters'!$B$2:$B$47,A77,'Event Parameters'!$J$2:$J$47,"Fail")&gt;0,"Fail",IF(COUNTIFS('Test Cases'!$B$2:$B$240,A77,'Test Cases'!$M$2:$M$240,"Blocked")+COUNTIFS('Event Parameters'!$B$2:$B$47,A77,'Event Parameters'!$J$2:$J$47,"Blocked")&gt;0,"Blocked",IF(COUNTIFS('Test Cases'!$B$2:$B$240,A77,'Test Cases'!$M$2:$M$240,"Not Run")+COUNTIFS('Event Parameters'!$B$2:$B$47,A77,'Event Parameters'!$J$2:$J$47,"Not Run")&gt;0,"Not Run",IF(COUNTIFS('Test Cases'!$B$2:$B$240,A77,'Test Cases'!$M$2:$M$240,"Pass")+COUNTIFS('Event Parameters'!$B$2:$B$47,A77,'Event Parameters'!$J$2:$J$47,"Pass")&gt;0,"Pass","N/A"))))</f>
        <v/>
      </c>
      <c r="G77" s="3" t="inlineStr"/>
    </row>
    <row r="78">
      <c r="A78" s="2" t="inlineStr">
        <is>
          <t>F-077</t>
        </is>
      </c>
      <c r="B78" s="2" t="inlineStr">
        <is>
          <t>Desktop App</t>
        </is>
      </c>
      <c r="C78" s="2" t="inlineStr">
        <is>
          <t>Desktop security and OS integration</t>
        </is>
      </c>
      <c r="D78" s="2" t="inlineStr">
        <is>
          <t>Preserve safe native UX and secure backend sessions.</t>
        </is>
      </c>
      <c r="E78" s="2" t="inlineStr">
        <is>
          <t>TC-221, TC-222, TC-223</t>
        </is>
      </c>
      <c r="F78" s="2">
        <f>IF(COUNTIFS('Test Cases'!$B$2:$B$240,A78,'Test Cases'!$M$2:$M$240,"Fail")+COUNTIFS('Event Parameters'!$B$2:$B$47,A78,'Event Parameters'!$J$2:$J$47,"Fail")&gt;0,"Fail",IF(COUNTIFS('Test Cases'!$B$2:$B$240,A78,'Test Cases'!$M$2:$M$240,"Blocked")+COUNTIFS('Event Parameters'!$B$2:$B$47,A78,'Event Parameters'!$J$2:$J$47,"Blocked")&gt;0,"Blocked",IF(COUNTIFS('Test Cases'!$B$2:$B$240,A78,'Test Cases'!$M$2:$M$240,"Not Run")+COUNTIFS('Event Parameters'!$B$2:$B$47,A78,'Event Parameters'!$J$2:$J$47,"Not Run")&gt;0,"Not Run",IF(COUNTIFS('Test Cases'!$B$2:$B$240,A78,'Test Cases'!$M$2:$M$240,"Pass")+COUNTIFS('Event Parameters'!$B$2:$B$47,A78,'Event Parameters'!$J$2:$J$47,"Pass")&gt;0,"Pass","N/A"))))</f>
        <v/>
      </c>
      <c r="G78" s="2" t="inlineStr"/>
    </row>
    <row r="79">
      <c r="A79" s="3" t="inlineStr">
        <is>
          <t>F-078</t>
        </is>
      </c>
      <c r="B79" s="3" t="inlineStr">
        <is>
          <t>Cross-cutting QA</t>
        </is>
      </c>
      <c r="C79" s="3" t="inlineStr">
        <is>
          <t>Responsive and keyboard-accessible UX</t>
        </is>
      </c>
      <c r="D79" s="3" t="inlineStr">
        <is>
          <t>Make included workflows usable across target viewport/input modes.</t>
        </is>
      </c>
      <c r="E79" s="3" t="inlineStr">
        <is>
          <t>TC-224, TC-225, TC-226</t>
        </is>
      </c>
      <c r="F79" s="3">
        <f>IF(COUNTIFS('Test Cases'!$B$2:$B$240,A79,'Test Cases'!$M$2:$M$240,"Fail")+COUNTIFS('Event Parameters'!$B$2:$B$47,A79,'Event Parameters'!$J$2:$J$47,"Fail")&gt;0,"Fail",IF(COUNTIFS('Test Cases'!$B$2:$B$240,A79,'Test Cases'!$M$2:$M$240,"Blocked")+COUNTIFS('Event Parameters'!$B$2:$B$47,A79,'Event Parameters'!$J$2:$J$47,"Blocked")&gt;0,"Blocked",IF(COUNTIFS('Test Cases'!$B$2:$B$240,A79,'Test Cases'!$M$2:$M$240,"Not Run")+COUNTIFS('Event Parameters'!$B$2:$B$47,A79,'Event Parameters'!$J$2:$J$47,"Not Run")&gt;0,"Not Run",IF(COUNTIFS('Test Cases'!$B$2:$B$240,A79,'Test Cases'!$M$2:$M$240,"Pass")+COUNTIFS('Event Parameters'!$B$2:$B$47,A79,'Event Parameters'!$J$2:$J$47,"Pass")&gt;0,"Pass","N/A"))))</f>
        <v/>
      </c>
      <c r="G79" s="3" t="inlineStr"/>
    </row>
    <row r="80">
      <c r="A80" s="2" t="inlineStr">
        <is>
          <t>F-079</t>
        </is>
      </c>
      <c r="B80" s="2" t="inlineStr">
        <is>
          <t>Cross-cutting QA</t>
        </is>
      </c>
      <c r="C80" s="2" t="inlineStr">
        <is>
          <t>Data integrity, availability and recovery</t>
        </is>
      </c>
      <c r="D80" s="2" t="inlineStr">
        <is>
          <t>Maintain truthful consistent analytics through edge cases.</t>
        </is>
      </c>
      <c r="E80" s="2" t="inlineStr">
        <is>
          <t>TC-227, TC-228, TC-229</t>
        </is>
      </c>
      <c r="F80" s="2">
        <f>IF(COUNTIFS('Test Cases'!$B$2:$B$240,A80,'Test Cases'!$M$2:$M$240,"Fail")+COUNTIFS('Event Parameters'!$B$2:$B$47,A80,'Event Parameters'!$J$2:$J$47,"Fail")&gt;0,"Fail",IF(COUNTIFS('Test Cases'!$B$2:$B$240,A80,'Test Cases'!$M$2:$M$240,"Blocked")+COUNTIFS('Event Parameters'!$B$2:$B$47,A80,'Event Parameters'!$J$2:$J$47,"Blocked")&gt;0,"Blocked",IF(COUNTIFS('Test Cases'!$B$2:$B$240,A80,'Test Cases'!$M$2:$M$240,"Not Run")+COUNTIFS('Event Parameters'!$B$2:$B$47,A80,'Event Parameters'!$J$2:$J$47,"Not Run")&gt;0,"Not Run",IF(COUNTIFS('Test Cases'!$B$2:$B$240,A80,'Test Cases'!$M$2:$M$240,"Pass")+COUNTIFS('Event Parameters'!$B$2:$B$47,A80,'Event Parameters'!$J$2:$J$47,"Pass")&gt;0,"Pass","N/A"))))</f>
        <v/>
      </c>
      <c r="G80" s="2" t="inlineStr"/>
    </row>
    <row r="81">
      <c r="A81" s="3" t="inlineStr">
        <is>
          <t>F-080</t>
        </is>
      </c>
      <c r="B81" s="3" t="inlineStr">
        <is>
          <t>Cross-cutting QA</t>
        </is>
      </c>
      <c r="C81" s="3" t="inlineStr">
        <is>
          <t>Authorization and privacy</t>
        </is>
      </c>
      <c r="D81" s="3" t="inlineStr">
        <is>
          <t>Protect every sensitive module and saved object.</t>
        </is>
      </c>
      <c r="E81" s="3" t="inlineStr">
        <is>
          <t>TC-230, TC-231, TC-232</t>
        </is>
      </c>
      <c r="F81" s="3">
        <f>IF(COUNTIFS('Test Cases'!$B$2:$B$240,A81,'Test Cases'!$M$2:$M$240,"Fail")+COUNTIFS('Event Parameters'!$B$2:$B$47,A81,'Event Parameters'!$J$2:$J$47,"Fail")&gt;0,"Fail",IF(COUNTIFS('Test Cases'!$B$2:$B$240,A81,'Test Cases'!$M$2:$M$240,"Blocked")+COUNTIFS('Event Parameters'!$B$2:$B$47,A81,'Event Parameters'!$J$2:$J$47,"Blocked")&gt;0,"Blocked",IF(COUNTIFS('Test Cases'!$B$2:$B$240,A81,'Test Cases'!$M$2:$M$240,"Not Run")+COUNTIFS('Event Parameters'!$B$2:$B$47,A81,'Event Parameters'!$J$2:$J$47,"Not Run")&gt;0,"Not Run",IF(COUNTIFS('Test Cases'!$B$2:$B$240,A81,'Test Cases'!$M$2:$M$240,"Pass")+COUNTIFS('Event Parameters'!$B$2:$B$47,A81,'Event Parameters'!$J$2:$J$47,"Pass")&gt;0,"Pass","N/A"))))</f>
        <v/>
      </c>
      <c r="G81" s="3" t="inlineStr"/>
    </row>
    <row r="82">
      <c r="A82" s="2" t="inlineStr">
        <is>
          <t>F-081</t>
        </is>
      </c>
      <c r="B82" s="2" t="inlineStr">
        <is>
          <t>End-to-end</t>
        </is>
      </c>
      <c r="C82" s="2" t="inlineStr">
        <is>
          <t>Cross-module business workflows</t>
        </is>
      </c>
      <c r="D82" s="2" t="inlineStr">
        <is>
          <t>Verify integrated features work together with one consistent record/data context.</t>
        </is>
      </c>
      <c r="E82" s="2" t="inlineStr">
        <is>
          <t>TC-233, TC-234, TC-235, TC-236, TC-237, TC-238, TC-239</t>
        </is>
      </c>
      <c r="F82" s="2">
        <f>IF(COUNTIFS('Test Cases'!$B$2:$B$240,A82,'Test Cases'!$M$2:$M$240,"Fail")+COUNTIFS('Event Parameters'!$B$2:$B$47,A82,'Event Parameters'!$J$2:$J$47,"Fail")&gt;0,"Fail",IF(COUNTIFS('Test Cases'!$B$2:$B$240,A82,'Test Cases'!$M$2:$M$240,"Blocked")+COUNTIFS('Event Parameters'!$B$2:$B$47,A82,'Event Parameters'!$J$2:$J$47,"Blocked")&gt;0,"Blocked",IF(COUNTIFS('Test Cases'!$B$2:$B$240,A82,'Test Cases'!$M$2:$M$240,"Not Run")+COUNTIFS('Event Parameters'!$B$2:$B$47,A82,'Event Parameters'!$J$2:$J$47,"Not Run")&gt;0,"Not Run",IF(COUNTIFS('Test Cases'!$B$2:$B$240,A82,'Test Cases'!$M$2:$M$240,"Pass")+COUNTIFS('Event Parameters'!$B$2:$B$47,A82,'Event Parameters'!$J$2:$J$47,"Pass")&gt;0,"Pass","N/A"))))</f>
        <v/>
      </c>
      <c r="G82" s="2" t="inlineStr"/>
    </row>
  </sheetData>
  <autoFilter ref="A1:G82"/>
  <conditionalFormatting sqref="F2:F82">
    <cfRule type="expression" priority="1" dxfId="0">
      <formula>F2="Pass"</formula>
    </cfRule>
    <cfRule type="expression" priority="2" dxfId="1">
      <formula>F2="Fail"</formula>
    </cfRule>
  </conditionalFormatting>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R240"/>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25" customWidth="1" min="3" max="3"/>
    <col width="47" customWidth="1" min="4" max="4"/>
    <col width="33" customWidth="1" min="5" max="5"/>
    <col width="25" customWidth="1" min="6" max="6"/>
    <col width="68" customWidth="1" min="7" max="7"/>
    <col width="28" customWidth="1" min="8" max="8"/>
    <col width="105" customWidth="1" min="9" max="9"/>
    <col width="105" customWidth="1" min="10" max="10"/>
    <col width="75" customWidth="1" min="11" max="11"/>
    <col width="65" customWidth="1" min="12" max="12"/>
    <col width="16" customWidth="1" min="13" max="13"/>
    <col width="85" customWidth="1" min="14" max="14"/>
    <col width="25" customWidth="1" min="15" max="15"/>
    <col width="25" customWidth="1" min="16" max="16"/>
    <col width="25" customWidth="1" min="17" max="17"/>
    <col width="45" customWidth="1" min="18" max="18"/>
  </cols>
  <sheetData>
    <row r="1" ht="32" customHeight="1">
      <c r="A1" s="1" t="inlineStr">
        <is>
          <t>Test ID</t>
        </is>
      </c>
      <c r="B1" s="1" t="inlineStr">
        <is>
          <t>Feature ID</t>
        </is>
      </c>
      <c r="C1" s="1" t="inlineStr">
        <is>
          <t>Module</t>
        </is>
      </c>
      <c r="D1" s="1" t="inlineStr">
        <is>
          <t>Feature</t>
        </is>
      </c>
      <c r="E1" s="1" t="inlineStr">
        <is>
          <t>Scenario</t>
        </is>
      </c>
      <c r="F1" s="1" t="inlineStr">
        <is>
          <t>Priority</t>
        </is>
      </c>
      <c r="G1" s="1" t="inlineStr">
        <is>
          <t>Preconditions</t>
        </is>
      </c>
      <c r="H1" s="1" t="inlineStr">
        <is>
          <t>Test Data</t>
        </is>
      </c>
      <c r="I1" s="1" t="inlineStr">
        <is>
          <t>Steps</t>
        </is>
      </c>
      <c r="J1" s="1" t="inlineStr">
        <is>
          <t>Expected Result</t>
        </is>
      </c>
      <c r="K1" s="1" t="inlineStr">
        <is>
          <t>Cleanup / Safety</t>
        </is>
      </c>
      <c r="L1" s="1" t="inlineStr">
        <is>
          <t>Source</t>
        </is>
      </c>
      <c r="M1" s="1" t="inlineStr">
        <is>
          <t>Status</t>
        </is>
      </c>
      <c r="N1" s="1" t="inlineStr">
        <is>
          <t>Actual Result</t>
        </is>
      </c>
      <c r="O1" s="1" t="inlineStr">
        <is>
          <t>Bug ID</t>
        </is>
      </c>
      <c r="P1" s="1" t="inlineStr">
        <is>
          <t>Tester</t>
        </is>
      </c>
      <c r="Q1" s="1" t="inlineStr">
        <is>
          <t>Executed At</t>
        </is>
      </c>
      <c r="R1" s="1" t="inlineStr">
        <is>
          <t>Evidence</t>
        </is>
      </c>
    </row>
    <row r="2" ht="110" customHeight="1">
      <c r="A2" s="2" t="inlineStr">
        <is>
          <t>TC-001</t>
        </is>
      </c>
      <c r="B2" s="2" t="inlineStr">
        <is>
          <t>F-001</t>
        </is>
      </c>
      <c r="C2" s="2" t="inlineStr">
        <is>
          <t>Login &amp; Recovery</t>
        </is>
      </c>
      <c r="D2" s="2" t="inlineStr">
        <is>
          <t>Owner login and MFA</t>
        </is>
      </c>
      <c r="E2" s="2" t="inlineStr">
        <is>
          <t>Successful workflow</t>
        </is>
      </c>
      <c r="F2" s="2" t="inlineStr">
        <is>
          <t>P0</t>
        </is>
      </c>
      <c r="G2" s="2" t="inlineStr">
        <is>
          <t>Use approved QA environment, required fixtures and authorized QA account; open the feature location. For access tests begin in stated signed-out state.</t>
        </is>
      </c>
      <c r="H2" s="2" t="inlineStr">
        <is>
          <t>QA-AUTH</t>
        </is>
      </c>
      <c r="I2" s="2" t="inlineStr">
        <is>
          <t>Start signed out. Enter valid QA owner credentials; complete current authenticator challenge; access Home and protected analytics.</t>
        </is>
      </c>
      <c r="J2" s="2" t="inlineStr">
        <is>
          <t>Login completes with required MFA; correct owner context and protected data are available.</t>
        </is>
      </c>
      <c r="K2" s="2" t="inlineStr">
        <is>
          <t>QA accounts only; do not record credentials or authenticator codes.</t>
        </is>
      </c>
      <c r="L2" s="2" t="inlineStr">
        <is>
          <t>frontend/src/app/pages/Login.tsx</t>
        </is>
      </c>
      <c r="M2" s="2" t="inlineStr">
        <is>
          <t>Not Run</t>
        </is>
      </c>
      <c r="N2" s="2" t="inlineStr"/>
      <c r="O2" s="2" t="inlineStr"/>
      <c r="P2" s="2" t="inlineStr"/>
      <c r="Q2" s="2" t="inlineStr"/>
      <c r="R2" s="2" t="inlineStr"/>
    </row>
    <row r="3" ht="110" customHeight="1">
      <c r="A3" s="3" t="inlineStr">
        <is>
          <t>TC-002</t>
        </is>
      </c>
      <c r="B3" s="3" t="inlineStr">
        <is>
          <t>F-001</t>
        </is>
      </c>
      <c r="C3" s="3" t="inlineStr">
        <is>
          <t>Login &amp; Recovery</t>
        </is>
      </c>
      <c r="D3" s="3" t="inlineStr">
        <is>
          <t>Owner login and MFA</t>
        </is>
      </c>
      <c r="E3" s="3" t="inlineStr">
        <is>
          <t>Validation / failure handling</t>
        </is>
      </c>
      <c r="F3" s="3" t="inlineStr">
        <is>
          <t>P0</t>
        </is>
      </c>
      <c r="G3" s="3" t="inlineStr">
        <is>
          <t>Use approved QA environment, required fixtures and authorized QA account; open the feature location. For access tests begin in stated signed-out state.</t>
        </is>
      </c>
      <c r="H3" s="3" t="inlineStr">
        <is>
          <t>QA-AUTH</t>
        </is>
      </c>
      <c r="I3" s="3" t="inlineStr">
        <is>
          <t>Try blank/malformed inputs, invalid credentials, unauthorized account and invalid/expired MFA in separate attempts.</t>
        </is>
      </c>
      <c r="J3" s="3" t="inlineStr">
        <is>
          <t>All invalid attempts remain denied with meaningful non-enumerating feedback; no protected data or session is exposed.</t>
        </is>
      </c>
      <c r="K3" s="3" t="inlineStr">
        <is>
          <t>QA accounts only; do not record credentials or authenticator codes.</t>
        </is>
      </c>
      <c r="L3" s="3" t="inlineStr">
        <is>
          <t>frontend/src/app/pages/Login.tsx</t>
        </is>
      </c>
      <c r="M3" s="3" t="inlineStr">
        <is>
          <t>Not Run</t>
        </is>
      </c>
      <c r="N3" s="3" t="inlineStr"/>
      <c r="O3" s="3" t="inlineStr"/>
      <c r="P3" s="3" t="inlineStr"/>
      <c r="Q3" s="3" t="inlineStr"/>
      <c r="R3" s="3" t="inlineStr"/>
    </row>
    <row r="4" ht="110" customHeight="1">
      <c r="A4" s="2" t="inlineStr">
        <is>
          <t>TC-003</t>
        </is>
      </c>
      <c r="B4" s="2" t="inlineStr">
        <is>
          <t>F-001</t>
        </is>
      </c>
      <c r="C4" s="2" t="inlineStr">
        <is>
          <t>Login &amp; Recovery</t>
        </is>
      </c>
      <c r="D4" s="2" t="inlineStr">
        <is>
          <t>Owner login and MFA</t>
        </is>
      </c>
      <c r="E4" s="2" t="inlineStr">
        <is>
          <t>Correctness / persistence</t>
        </is>
      </c>
      <c r="F4" s="2" t="inlineStr">
        <is>
          <t>P0</t>
        </is>
      </c>
      <c r="G4" s="2" t="inlineStr">
        <is>
          <t>Use approved QA environment, required fixtures and authorized QA account; open the feature location. For access tests begin in stated signed-out state.</t>
        </is>
      </c>
      <c r="H4" s="2" t="inlineStr">
        <is>
          <t>QA-AUTH</t>
        </is>
      </c>
      <c r="I4" s="2" t="inlineStr">
        <is>
          <t>With no session open protected routes/API; then authenticate, reload and revisit /login.</t>
        </is>
      </c>
      <c r="J4" s="2" t="inlineStr">
        <is>
          <t>Unauthorized access is blocked; valid session survives supported navigation/reload; authenticated login route redirects correctly.</t>
        </is>
      </c>
      <c r="K4" s="2" t="inlineStr">
        <is>
          <t>QA accounts only; do not record credentials or authenticator codes.</t>
        </is>
      </c>
      <c r="L4" s="2" t="inlineStr">
        <is>
          <t>frontend/src/app/pages/Login.tsx</t>
        </is>
      </c>
      <c r="M4" s="2" t="inlineStr">
        <is>
          <t>Not Run</t>
        </is>
      </c>
      <c r="N4" s="2" t="inlineStr"/>
      <c r="O4" s="2" t="inlineStr"/>
      <c r="P4" s="2" t="inlineStr"/>
      <c r="Q4" s="2" t="inlineStr"/>
      <c r="R4" s="2" t="inlineStr"/>
    </row>
    <row r="5" ht="110" customHeight="1">
      <c r="A5" s="3" t="inlineStr">
        <is>
          <t>TC-004</t>
        </is>
      </c>
      <c r="B5" s="3" t="inlineStr">
        <is>
          <t>F-002</t>
        </is>
      </c>
      <c r="C5" s="3" t="inlineStr">
        <is>
          <t>Login &amp; Recovery</t>
        </is>
      </c>
      <c r="D5" s="3" t="inlineStr">
        <is>
          <t>Password recovery</t>
        </is>
      </c>
      <c r="E5" s="3" t="inlineStr">
        <is>
          <t>Successful workflow</t>
        </is>
      </c>
      <c r="F5" s="3" t="inlineStr">
        <is>
          <t>P1</t>
        </is>
      </c>
      <c r="G5" s="3" t="inlineStr">
        <is>
          <t>Use approved QA environment, required fixtures and authorized QA account; open the feature location. For access tests begin in stated signed-out state.</t>
        </is>
      </c>
      <c r="H5" s="3" t="inlineStr">
        <is>
          <t>QA-AUTH</t>
        </is>
      </c>
      <c r="I5" s="3" t="inlineStr">
        <is>
          <t>Request reset for QA inbox; open fresh emailed link in supported website; set matching compliant password; sign in.</t>
        </is>
      </c>
      <c r="J5" s="3" t="inlineStr">
        <is>
          <t>Secure recovery completes; new password works with required MFA; old password no longer works.</t>
        </is>
      </c>
      <c r="K5" s="3" t="inlineStr">
        <is>
          <t>Use dedicated QA account/inbox; restore QA access afterward.</t>
        </is>
      </c>
      <c r="L5" s="3" t="inlineStr">
        <is>
          <t>frontend/src/app/pages/Login.tsx</t>
        </is>
      </c>
      <c r="M5" s="3" t="inlineStr">
        <is>
          <t>Not Run</t>
        </is>
      </c>
      <c r="N5" s="3" t="inlineStr"/>
      <c r="O5" s="3" t="inlineStr"/>
      <c r="P5" s="3" t="inlineStr"/>
      <c r="Q5" s="3" t="inlineStr"/>
      <c r="R5" s="3" t="inlineStr"/>
    </row>
    <row r="6" ht="110" customHeight="1">
      <c r="A6" s="2" t="inlineStr">
        <is>
          <t>TC-005</t>
        </is>
      </c>
      <c r="B6" s="2" t="inlineStr">
        <is>
          <t>F-002</t>
        </is>
      </c>
      <c r="C6" s="2" t="inlineStr">
        <is>
          <t>Login &amp; Recovery</t>
        </is>
      </c>
      <c r="D6" s="2" t="inlineStr">
        <is>
          <t>Password recovery</t>
        </is>
      </c>
      <c r="E6" s="2" t="inlineStr">
        <is>
          <t>Validation / failure handling</t>
        </is>
      </c>
      <c r="F6" s="2" t="inlineStr">
        <is>
          <t>P1</t>
        </is>
      </c>
      <c r="G6" s="2" t="inlineStr">
        <is>
          <t>Use approved QA environment, required fixtures and authorized QA account; open the feature location. For access tests begin in stated signed-out state.</t>
        </is>
      </c>
      <c r="H6" s="2" t="inlineStr">
        <is>
          <t>QA-AUTH</t>
        </is>
      </c>
      <c r="I6" s="2" t="inlineStr">
        <is>
          <t>Try unknown email, expired/reused link, short password and mismatching confirmation separately.</t>
        </is>
      </c>
      <c r="J6" s="2" t="inlineStr">
        <is>
          <t>Unknown account response is neutral; invalid link/password attempts cannot change password.</t>
        </is>
      </c>
      <c r="K6" s="2" t="inlineStr">
        <is>
          <t>Use dedicated QA account/inbox; restore QA access afterward.</t>
        </is>
      </c>
      <c r="L6" s="2" t="inlineStr">
        <is>
          <t>frontend/src/app/pages/Login.tsx</t>
        </is>
      </c>
      <c r="M6" s="2" t="inlineStr">
        <is>
          <t>Not Run</t>
        </is>
      </c>
      <c r="N6" s="2" t="inlineStr"/>
      <c r="O6" s="2" t="inlineStr"/>
      <c r="P6" s="2" t="inlineStr"/>
      <c r="Q6" s="2" t="inlineStr"/>
      <c r="R6" s="2" t="inlineStr"/>
    </row>
    <row r="7" ht="110" customHeight="1">
      <c r="A7" s="3" t="inlineStr">
        <is>
          <t>TC-006</t>
        </is>
      </c>
      <c r="B7" s="3" t="inlineStr">
        <is>
          <t>F-002</t>
        </is>
      </c>
      <c r="C7" s="3" t="inlineStr">
        <is>
          <t>Login &amp; Recovery</t>
        </is>
      </c>
      <c r="D7" s="3" t="inlineStr">
        <is>
          <t>Password recovery</t>
        </is>
      </c>
      <c r="E7" s="3" t="inlineStr">
        <is>
          <t>Correctness / persistence</t>
        </is>
      </c>
      <c r="F7" s="3" t="inlineStr">
        <is>
          <t>P1</t>
        </is>
      </c>
      <c r="G7" s="3" t="inlineStr">
        <is>
          <t>Use approved QA environment, required fixtures and authorized QA account; open the feature location. For access tests begin in stated signed-out state.</t>
        </is>
      </c>
      <c r="H7" s="3" t="inlineStr">
        <is>
          <t>QA-AUTH</t>
        </is>
      </c>
      <c r="I7" s="3" t="inlineStr">
        <is>
          <t>Cancel recovery request before sending; verify account unchanged. Inspect successful recovery session/redirect and log out.</t>
        </is>
      </c>
      <c r="J7" s="3" t="inlineStr">
        <is>
          <t>Cancel has no side effect; recovery links/session are scoped to intended account; secrets are not returned in messages.</t>
        </is>
      </c>
      <c r="K7" s="3" t="inlineStr">
        <is>
          <t>Use dedicated QA account/inbox; restore QA access afterward.</t>
        </is>
      </c>
      <c r="L7" s="3" t="inlineStr">
        <is>
          <t>frontend/src/app/pages/Login.tsx</t>
        </is>
      </c>
      <c r="M7" s="3" t="inlineStr">
        <is>
          <t>Not Run</t>
        </is>
      </c>
      <c r="N7" s="3" t="inlineStr"/>
      <c r="O7" s="3" t="inlineStr"/>
      <c r="P7" s="3" t="inlineStr"/>
      <c r="Q7" s="3" t="inlineStr"/>
      <c r="R7" s="3" t="inlineStr"/>
    </row>
    <row r="8" ht="110" customHeight="1">
      <c r="A8" s="2" t="inlineStr">
        <is>
          <t>TC-007</t>
        </is>
      </c>
      <c r="B8" s="2" t="inlineStr">
        <is>
          <t>F-003</t>
        </is>
      </c>
      <c r="C8" s="2" t="inlineStr">
        <is>
          <t>Login &amp; Recovery</t>
        </is>
      </c>
      <c r="D8" s="2" t="inlineStr">
        <is>
          <t>Authenticator enrollment</t>
        </is>
      </c>
      <c r="E8" s="2" t="inlineStr">
        <is>
          <t>Successful workflow</t>
        </is>
      </c>
      <c r="F8" s="2" t="inlineStr">
        <is>
          <t>P1</t>
        </is>
      </c>
      <c r="G8" s="2" t="inlineStr">
        <is>
          <t>Use approved QA environment, required fixtures and authorized QA account; open the feature location. For access tests begin in stated signed-out state.</t>
        </is>
      </c>
      <c r="H8" s="2" t="inlineStr">
        <is>
          <t>QA-AUTH</t>
        </is>
      </c>
      <c r="I8" s="2" t="inlineStr">
        <is>
          <t>In enabled QA website, authenticate an unenrolled QA account; scan enrollment QR/manual secret; submit current code.</t>
        </is>
      </c>
      <c r="J8" s="2" t="inlineStr">
        <is>
          <t>Factor verifies and session meets required assurance; protected dashboard becomes available.</t>
        </is>
      </c>
      <c r="K8" s="2" t="inlineStr">
        <is>
          <t>Dedicated unenrolled test account only; never screenshot QR/manual secret.</t>
        </is>
      </c>
      <c r="L8" s="2" t="inlineStr">
        <is>
          <t>frontend/src/app/pages/Login.tsx</t>
        </is>
      </c>
      <c r="M8" s="2" t="inlineStr">
        <is>
          <t>Not Run</t>
        </is>
      </c>
      <c r="N8" s="2" t="inlineStr"/>
      <c r="O8" s="2" t="inlineStr"/>
      <c r="P8" s="2" t="inlineStr"/>
      <c r="Q8" s="2" t="inlineStr"/>
      <c r="R8" s="2" t="inlineStr"/>
    </row>
    <row r="9" ht="110" customHeight="1">
      <c r="A9" s="3" t="inlineStr">
        <is>
          <t>TC-008</t>
        </is>
      </c>
      <c r="B9" s="3" t="inlineStr">
        <is>
          <t>F-003</t>
        </is>
      </c>
      <c r="C9" s="3" t="inlineStr">
        <is>
          <t>Login &amp; Recovery</t>
        </is>
      </c>
      <c r="D9" s="3" t="inlineStr">
        <is>
          <t>Authenticator enrollment</t>
        </is>
      </c>
      <c r="E9" s="3" t="inlineStr">
        <is>
          <t>Validation / failure handling</t>
        </is>
      </c>
      <c r="F9" s="3" t="inlineStr">
        <is>
          <t>P1</t>
        </is>
      </c>
      <c r="G9" s="3" t="inlineStr">
        <is>
          <t>Use approved QA environment, required fixtures and authorized QA account; open the feature location. For access tests begin in stated signed-out state.</t>
        </is>
      </c>
      <c r="H9" s="3" t="inlineStr">
        <is>
          <t>QA-AUTH</t>
        </is>
      </c>
      <c r="I9" s="3" t="inlineStr">
        <is>
          <t>Try invalid code and unauthorized/disabled enrollment environment.</t>
        </is>
      </c>
      <c r="J9" s="3" t="inlineStr">
        <is>
          <t>No false enrollment, factor mutation or access grant; clear blocked/disabled state.</t>
        </is>
      </c>
      <c r="K9" s="3" t="inlineStr">
        <is>
          <t>Dedicated unenrolled test account only; never screenshot QR/manual secret.</t>
        </is>
      </c>
      <c r="L9" s="3" t="inlineStr">
        <is>
          <t>frontend/src/app/pages/Login.tsx</t>
        </is>
      </c>
      <c r="M9" s="3" t="inlineStr">
        <is>
          <t>Not Run</t>
        </is>
      </c>
      <c r="N9" s="3" t="inlineStr"/>
      <c r="O9" s="3" t="inlineStr"/>
      <c r="P9" s="3" t="inlineStr"/>
      <c r="Q9" s="3" t="inlineStr"/>
      <c r="R9" s="3" t="inlineStr"/>
    </row>
    <row r="10" ht="110" customHeight="1">
      <c r="A10" s="2" t="inlineStr">
        <is>
          <t>TC-009</t>
        </is>
      </c>
      <c r="B10" s="2" t="inlineStr">
        <is>
          <t>F-003</t>
        </is>
      </c>
      <c r="C10" s="2" t="inlineStr">
        <is>
          <t>Login &amp; Recovery</t>
        </is>
      </c>
      <c r="D10" s="2" t="inlineStr">
        <is>
          <t>Authenticator enrollment</t>
        </is>
      </c>
      <c r="E10" s="2" t="inlineStr">
        <is>
          <t>Correctness / persistence</t>
        </is>
      </c>
      <c r="F10" s="2" t="inlineStr">
        <is>
          <t>P1</t>
        </is>
      </c>
      <c r="G10" s="2" t="inlineStr">
        <is>
          <t>Use approved QA environment, required fixtures and authorized QA account; open the feature location. For access tests begin in stated signed-out state.</t>
        </is>
      </c>
      <c r="H10" s="2" t="inlineStr">
        <is>
          <t>QA-AUTH</t>
        </is>
      </c>
      <c r="I10" s="2" t="inlineStr">
        <is>
          <t>After enrollment sign out and back in; inspect current desktop enrollment behavior separately.</t>
        </is>
      </c>
      <c r="J10" s="2" t="inlineStr">
        <is>
          <t>New logins require enrolled factor; desktop guidance is truthful. Full desktop enrollment is not considered implemented by a guidance page.</t>
        </is>
      </c>
      <c r="K10" s="2" t="inlineStr">
        <is>
          <t>Dedicated unenrolled test account only; never screenshot QR/manual secret.</t>
        </is>
      </c>
      <c r="L10" s="2" t="inlineStr">
        <is>
          <t>frontend/src/app/pages/Login.tsx</t>
        </is>
      </c>
      <c r="M10" s="2" t="inlineStr">
        <is>
          <t>Not Run</t>
        </is>
      </c>
      <c r="N10" s="2" t="inlineStr"/>
      <c r="O10" s="2" t="inlineStr"/>
      <c r="P10" s="2" t="inlineStr"/>
      <c r="Q10" s="2" t="inlineStr"/>
      <c r="R10" s="2" t="inlineStr"/>
    </row>
    <row r="11" ht="110" customHeight="1">
      <c r="A11" s="3" t="inlineStr">
        <is>
          <t>TC-010</t>
        </is>
      </c>
      <c r="B11" s="3" t="inlineStr">
        <is>
          <t>F-004</t>
        </is>
      </c>
      <c r="C11" s="3" t="inlineStr">
        <is>
          <t>Navigation &amp; Header</t>
        </is>
      </c>
      <c r="D11" s="3" t="inlineStr">
        <is>
          <t>Sign-out and session timeout</t>
        </is>
      </c>
      <c r="E11" s="3" t="inlineStr">
        <is>
          <t>Successful workflow</t>
        </is>
      </c>
      <c r="F11" s="3" t="inlineStr">
        <is>
          <t>P0</t>
        </is>
      </c>
      <c r="G11" s="3" t="inlineStr">
        <is>
          <t>Use approved QA environment, required fixtures and authorized QA account; open the feature location. For access tests begin in stated signed-out state.</t>
        </is>
      </c>
      <c r="H11" s="3" t="inlineStr">
        <is>
          <t>QA-BASE</t>
        </is>
      </c>
      <c r="I11" s="3" t="inlineStr">
        <is>
          <t>Sign in, open profile and sign out; attempt Back, reload and protected route access.</t>
        </is>
      </c>
      <c r="J11" s="3" t="inlineStr">
        <is>
          <t>Server session is cleared; protected data cannot be reused.</t>
        </is>
      </c>
      <c r="K11" s="3" t="inlineStr">
        <is>
          <t>Restore original timeout; use QA account.</t>
        </is>
      </c>
      <c r="L11" s="3" t="inlineStr">
        <is>
          <t>frontend/src/app/components/Header.tsx</t>
        </is>
      </c>
      <c r="M11" s="3" t="inlineStr">
        <is>
          <t>Not Run</t>
        </is>
      </c>
      <c r="N11" s="3" t="inlineStr"/>
      <c r="O11" s="3" t="inlineStr"/>
      <c r="P11" s="3" t="inlineStr"/>
      <c r="Q11" s="3" t="inlineStr"/>
      <c r="R11" s="3" t="inlineStr"/>
    </row>
    <row r="12" ht="110" customHeight="1">
      <c r="A12" s="2" t="inlineStr">
        <is>
          <t>TC-011</t>
        </is>
      </c>
      <c r="B12" s="2" t="inlineStr">
        <is>
          <t>F-004</t>
        </is>
      </c>
      <c r="C12" s="2" t="inlineStr">
        <is>
          <t>Navigation &amp; Header</t>
        </is>
      </c>
      <c r="D12" s="2" t="inlineStr">
        <is>
          <t>Sign-out and session timeout</t>
        </is>
      </c>
      <c r="E12" s="2" t="inlineStr">
        <is>
          <t>Validation / failure handling</t>
        </is>
      </c>
      <c r="F12" s="2" t="inlineStr">
        <is>
          <t>P0</t>
        </is>
      </c>
      <c r="G12" s="2" t="inlineStr">
        <is>
          <t>Use approved QA environment, required fixtures and authorized QA account; open the feature location. For access tests begin in stated signed-out state.</t>
        </is>
      </c>
      <c r="H12" s="2" t="inlineStr">
        <is>
          <t>QA-BASE</t>
        </is>
      </c>
      <c r="I12" s="2" t="inlineStr">
        <is>
          <t>Set shortest supported QA timeout; wait idle. In separate run interact before expiry.</t>
        </is>
      </c>
      <c r="J12" s="2" t="inlineStr">
        <is>
          <t>Idle session expires safely; valid activity resets timer; no bypass through browser history.</t>
        </is>
      </c>
      <c r="K12" s="2" t="inlineStr">
        <is>
          <t>Restore original timeout; use QA account.</t>
        </is>
      </c>
      <c r="L12" s="2" t="inlineStr">
        <is>
          <t>frontend/src/app/components/Header.tsx</t>
        </is>
      </c>
      <c r="M12" s="2" t="inlineStr">
        <is>
          <t>Not Run</t>
        </is>
      </c>
      <c r="N12" s="2" t="inlineStr"/>
      <c r="O12" s="2" t="inlineStr"/>
      <c r="P12" s="2" t="inlineStr"/>
      <c r="Q12" s="2" t="inlineStr"/>
      <c r="R12" s="2" t="inlineStr"/>
    </row>
    <row r="13" ht="110" customHeight="1">
      <c r="A13" s="3" t="inlineStr">
        <is>
          <t>TC-012</t>
        </is>
      </c>
      <c r="B13" s="3" t="inlineStr">
        <is>
          <t>F-004</t>
        </is>
      </c>
      <c r="C13" s="3" t="inlineStr">
        <is>
          <t>Navigation &amp; Header</t>
        </is>
      </c>
      <c r="D13" s="3" t="inlineStr">
        <is>
          <t>Sign-out and session timeout</t>
        </is>
      </c>
      <c r="E13" s="3" t="inlineStr">
        <is>
          <t>Correctness / persistence</t>
        </is>
      </c>
      <c r="F13" s="3" t="inlineStr">
        <is>
          <t>P0</t>
        </is>
      </c>
      <c r="G13" s="3" t="inlineStr">
        <is>
          <t>Use approved QA environment, required fixtures and authorized QA account; open the feature location. For access tests begin in stated signed-out state.</t>
        </is>
      </c>
      <c r="H13" s="3" t="inlineStr">
        <is>
          <t>QA-BASE</t>
        </is>
      </c>
      <c r="I13" s="3" t="inlineStr">
        <is>
          <t>Relaunch desktop/browser after logout; inspect session state and login requirement.</t>
        </is>
      </c>
      <c r="J13" s="3" t="inlineStr">
        <is>
          <t>No protected stale screen remains usable; logout is consistent across main features.</t>
        </is>
      </c>
      <c r="K13" s="3" t="inlineStr">
        <is>
          <t>Restore original timeout; use QA account.</t>
        </is>
      </c>
      <c r="L13" s="3" t="inlineStr">
        <is>
          <t>frontend/src/app/components/Header.tsx</t>
        </is>
      </c>
      <c r="M13" s="3" t="inlineStr">
        <is>
          <t>Not Run</t>
        </is>
      </c>
      <c r="N13" s="3" t="inlineStr"/>
      <c r="O13" s="3" t="inlineStr"/>
      <c r="P13" s="3" t="inlineStr"/>
      <c r="Q13" s="3" t="inlineStr"/>
      <c r="R13" s="3" t="inlineStr"/>
    </row>
    <row r="14" ht="110" customHeight="1">
      <c r="A14" s="2" t="inlineStr">
        <is>
          <t>TC-013</t>
        </is>
      </c>
      <c r="B14" s="2" t="inlineStr">
        <is>
          <t>F-005</t>
        </is>
      </c>
      <c r="C14" s="2" t="inlineStr">
        <is>
          <t>Navigation &amp; Header</t>
        </is>
      </c>
      <c r="D14" s="2" t="inlineStr">
        <is>
          <t>Page navigation and responsive sidebar</t>
        </is>
      </c>
      <c r="E14" s="2" t="inlineStr">
        <is>
          <t>Successful workflow</t>
        </is>
      </c>
      <c r="F14" s="2" t="inlineStr">
        <is>
          <t>P0</t>
        </is>
      </c>
      <c r="G14" s="2" t="inlineStr">
        <is>
          <t>Use approved QA environment, required fixtures and authorized QA account; open the feature location. For access tests begin in stated signed-out state.</t>
        </is>
      </c>
      <c r="H14" s="2" t="inlineStr">
        <is>
          <t>QA-BASE</t>
        </is>
      </c>
      <c r="I14" s="2" t="inlineStr">
        <is>
          <t>Navigate Home, Cafe, Services, Retail, AI Simulation, Smart Reports, Root Cause Explorer, Feedback, Audit and Settings.</t>
        </is>
      </c>
      <c r="J14" s="2" t="inlineStr">
        <is>
          <t>Every main page loads its intended content and route without exception.</t>
        </is>
      </c>
      <c r="K14" s="2" t="inlineStr">
        <is>
          <t>Read-only; restore temporary QA filters/settings.</t>
        </is>
      </c>
      <c r="L14" s="2" t="inlineStr">
        <is>
          <t>frontend/src/app/components/Header.tsx</t>
        </is>
      </c>
      <c r="M14" s="2" t="inlineStr">
        <is>
          <t>Not Run</t>
        </is>
      </c>
      <c r="N14" s="2" t="inlineStr"/>
      <c r="O14" s="2" t="inlineStr"/>
      <c r="P14" s="2" t="inlineStr"/>
      <c r="Q14" s="2" t="inlineStr"/>
      <c r="R14" s="2" t="inlineStr"/>
    </row>
    <row r="15" ht="110" customHeight="1">
      <c r="A15" s="3" t="inlineStr">
        <is>
          <t>TC-014</t>
        </is>
      </c>
      <c r="B15" s="3" t="inlineStr">
        <is>
          <t>F-005</t>
        </is>
      </c>
      <c r="C15" s="3" t="inlineStr">
        <is>
          <t>Navigation &amp; Header</t>
        </is>
      </c>
      <c r="D15" s="3" t="inlineStr">
        <is>
          <t>Page navigation and responsive sidebar</t>
        </is>
      </c>
      <c r="E15" s="3" t="inlineStr">
        <is>
          <t>Validation / failure handling</t>
        </is>
      </c>
      <c r="F15" s="3" t="inlineStr">
        <is>
          <t>P0</t>
        </is>
      </c>
      <c r="G15" s="3" t="inlineStr">
        <is>
          <t>Use approved QA environment, required fixtures and authorized QA account; open the feature location. For access tests begin in stated signed-out state.</t>
        </is>
      </c>
      <c r="H15" s="3" t="inlineStr">
        <is>
          <t>QA-BASE</t>
        </is>
      </c>
      <c r="I15" s="3" t="inlineStr">
        <is>
          <t>Open a protected deep link signed out; open unsupported URL; use mobile drawer navigation.</t>
        </is>
      </c>
      <c r="J15" s="3" t="inlineStr">
        <is>
          <t>Unauthorized page is blocked, unsupported route is handled, mobile navigation remains reachable.</t>
        </is>
      </c>
      <c r="K15" s="3" t="inlineStr">
        <is>
          <t>Read-only; restore temporary QA filters/settings.</t>
        </is>
      </c>
      <c r="L15" s="3" t="inlineStr">
        <is>
          <t>frontend/src/app/components/Header.tsx</t>
        </is>
      </c>
      <c r="M15" s="3" t="inlineStr">
        <is>
          <t>Not Run</t>
        </is>
      </c>
      <c r="N15" s="3" t="inlineStr"/>
      <c r="O15" s="3" t="inlineStr"/>
      <c r="P15" s="3" t="inlineStr"/>
      <c r="Q15" s="3" t="inlineStr"/>
      <c r="R15" s="3" t="inlineStr"/>
    </row>
    <row r="16" ht="110" customHeight="1">
      <c r="A16" s="2" t="inlineStr">
        <is>
          <t>TC-015</t>
        </is>
      </c>
      <c r="B16" s="2" t="inlineStr">
        <is>
          <t>F-005</t>
        </is>
      </c>
      <c r="C16" s="2" t="inlineStr">
        <is>
          <t>Navigation &amp; Header</t>
        </is>
      </c>
      <c r="D16" s="2" t="inlineStr">
        <is>
          <t>Page navigation and responsive sidebar</t>
        </is>
      </c>
      <c r="E16" s="2" t="inlineStr">
        <is>
          <t>Correctness / persistence</t>
        </is>
      </c>
      <c r="F16" s="2" t="inlineStr">
        <is>
          <t>P0</t>
        </is>
      </c>
      <c r="G16" s="2" t="inlineStr">
        <is>
          <t>Use approved QA environment, required fixtures and authorized QA account; open the feature location. For access tests begin in stated signed-out state.</t>
        </is>
      </c>
      <c r="H16" s="2" t="inlineStr">
        <is>
          <t>QA-BASE</t>
        </is>
      </c>
      <c r="I16" s="2" t="inlineStr">
        <is>
          <t>Collapse/expand sidebar; reload; use Back/Forward and menu close behavior.</t>
        </is>
      </c>
      <c r="J16" s="2" t="inlineStr">
        <is>
          <t>Preference persists as designed; route indicator matches content; navigation causes no unintended writes.</t>
        </is>
      </c>
      <c r="K16" s="2" t="inlineStr">
        <is>
          <t>Read-only; restore temporary QA filters/settings.</t>
        </is>
      </c>
      <c r="L16" s="2" t="inlineStr">
        <is>
          <t>frontend/src/app/components/Header.tsx</t>
        </is>
      </c>
      <c r="M16" s="2" t="inlineStr">
        <is>
          <t>Not Run</t>
        </is>
      </c>
      <c r="N16" s="2" t="inlineStr"/>
      <c r="O16" s="2" t="inlineStr"/>
      <c r="P16" s="2" t="inlineStr"/>
      <c r="Q16" s="2" t="inlineStr"/>
      <c r="R16" s="2" t="inlineStr"/>
    </row>
    <row r="17" ht="110" customHeight="1">
      <c r="A17" s="3" t="inlineStr">
        <is>
          <t>TC-016</t>
        </is>
      </c>
      <c r="B17" s="3" t="inlineStr">
        <is>
          <t>F-006</t>
        </is>
      </c>
      <c r="C17" s="3" t="inlineStr">
        <is>
          <t>Navigation &amp; Header</t>
        </is>
      </c>
      <c r="D17" s="3" t="inlineStr">
        <is>
          <t>Global reporting date scope</t>
        </is>
      </c>
      <c r="E17" s="3" t="inlineStr">
        <is>
          <t>Successful workflow</t>
        </is>
      </c>
      <c r="F17" s="3" t="inlineStr">
        <is>
          <t>P1</t>
        </is>
      </c>
      <c r="G17" s="3" t="inlineStr">
        <is>
          <t>Use approved QA environment, required fixtures and authorized QA account; open the feature location. For access tests begin in stated signed-out state.</t>
        </is>
      </c>
      <c r="H17" s="3" t="inlineStr">
        <is>
          <t>QA-BASE</t>
        </is>
      </c>
      <c r="I17" s="3" t="inlineStr">
        <is>
          <t>Choose a standard period, then valid custom dates; navigate applicable dashboards.</t>
        </is>
      </c>
      <c r="J17" s="3" t="inlineStr">
        <is>
          <t>Date-sensitive sections use selected range; labels and business-date boundaries agree.</t>
        </is>
      </c>
      <c r="K17" s="3" t="inlineStr">
        <is>
          <t>Read-only; restore temporary QA filters/settings.</t>
        </is>
      </c>
      <c r="L17" s="3" t="inlineStr">
        <is>
          <t>frontend/src/app/components/Header.tsx</t>
        </is>
      </c>
      <c r="M17" s="3" t="inlineStr">
        <is>
          <t>Not Run</t>
        </is>
      </c>
      <c r="N17" s="3" t="inlineStr"/>
      <c r="O17" s="3" t="inlineStr"/>
      <c r="P17" s="3" t="inlineStr"/>
      <c r="Q17" s="3" t="inlineStr"/>
      <c r="R17" s="3" t="inlineStr"/>
    </row>
    <row r="18" ht="110" customHeight="1">
      <c r="A18" s="2" t="inlineStr">
        <is>
          <t>TC-017</t>
        </is>
      </c>
      <c r="B18" s="2" t="inlineStr">
        <is>
          <t>F-006</t>
        </is>
      </c>
      <c r="C18" s="2" t="inlineStr">
        <is>
          <t>Navigation &amp; Header</t>
        </is>
      </c>
      <c r="D18" s="2" t="inlineStr">
        <is>
          <t>Global reporting date scope</t>
        </is>
      </c>
      <c r="E18" s="2" t="inlineStr">
        <is>
          <t>Validation / failure handling</t>
        </is>
      </c>
      <c r="F18" s="2" t="inlineStr">
        <is>
          <t>P1</t>
        </is>
      </c>
      <c r="G18" s="2" t="inlineStr">
        <is>
          <t>Use approved QA environment, required fixtures and authorized QA account; open the feature location. For access tests begin in stated signed-out state.</t>
        </is>
      </c>
      <c r="H18" s="2" t="inlineStr">
        <is>
          <t>QA-BASE</t>
        </is>
      </c>
      <c r="I18" s="2" t="inlineStr">
        <is>
          <t>Try missing, reversed and out-of-history custom dates.</t>
        </is>
      </c>
      <c r="J18" s="2" t="inlineStr">
        <is>
          <t>Invalid range is rejected or visibly corrected; no false successful filter.</t>
        </is>
      </c>
      <c r="K18" s="2" t="inlineStr">
        <is>
          <t>Read-only; restore temporary QA filters/settings.</t>
        </is>
      </c>
      <c r="L18" s="2" t="inlineStr">
        <is>
          <t>frontend/src/app/components/Header.tsx</t>
        </is>
      </c>
      <c r="M18" s="2" t="inlineStr">
        <is>
          <t>Not Run</t>
        </is>
      </c>
      <c r="N18" s="2" t="inlineStr"/>
      <c r="O18" s="2" t="inlineStr"/>
      <c r="P18" s="2" t="inlineStr"/>
      <c r="Q18" s="2" t="inlineStr"/>
      <c r="R18" s="2" t="inlineStr"/>
    </row>
    <row r="19" ht="110" customHeight="1">
      <c r="A19" s="3" t="inlineStr">
        <is>
          <t>TC-018</t>
        </is>
      </c>
      <c r="B19" s="3" t="inlineStr">
        <is>
          <t>F-006</t>
        </is>
      </c>
      <c r="C19" s="3" t="inlineStr">
        <is>
          <t>Navigation &amp; Header</t>
        </is>
      </c>
      <c r="D19" s="3" t="inlineStr">
        <is>
          <t>Global reporting date scope</t>
        </is>
      </c>
      <c r="E19" s="3" t="inlineStr">
        <is>
          <t>Correctness / persistence</t>
        </is>
      </c>
      <c r="F19" s="3" t="inlineStr">
        <is>
          <t>P1</t>
        </is>
      </c>
      <c r="G19" s="3" t="inlineStr">
        <is>
          <t>Use approved QA environment, required fixtures and authorized QA account; open the feature location. For access tests begin in stated signed-out state.</t>
        </is>
      </c>
      <c r="H19" s="3" t="inlineStr">
        <is>
          <t>QA-BASE</t>
        </is>
      </c>
      <c r="I19" s="3" t="inlineStr">
        <is>
          <t>Reload saved range; compare chart/KPI API windows across affected pages.</t>
        </is>
      </c>
      <c r="J19" s="3" t="inlineStr">
        <is>
          <t>Persistence and date scope are consistent; local independent filters are clearly identified.</t>
        </is>
      </c>
      <c r="K19" s="3" t="inlineStr">
        <is>
          <t>Read-only; restore temporary QA filters/settings.</t>
        </is>
      </c>
      <c r="L19" s="3" t="inlineStr">
        <is>
          <t>frontend/src/app/components/Header.tsx</t>
        </is>
      </c>
      <c r="M19" s="3" t="inlineStr">
        <is>
          <t>Not Run</t>
        </is>
      </c>
      <c r="N19" s="3" t="inlineStr"/>
      <c r="O19" s="3" t="inlineStr"/>
      <c r="P19" s="3" t="inlineStr"/>
      <c r="Q19" s="3" t="inlineStr"/>
      <c r="R19" s="3" t="inlineStr"/>
    </row>
    <row r="20" ht="110" customHeight="1">
      <c r="A20" s="2" t="inlineStr">
        <is>
          <t>TC-019</t>
        </is>
      </c>
      <c r="B20" s="2" t="inlineStr">
        <is>
          <t>F-007</t>
        </is>
      </c>
      <c r="C20" s="2" t="inlineStr">
        <is>
          <t>Navigation &amp; Header</t>
        </is>
      </c>
      <c r="D20" s="2" t="inlineStr">
        <is>
          <t>Notification management</t>
        </is>
      </c>
      <c r="E20" s="2" t="inlineStr">
        <is>
          <t>Successful workflow</t>
        </is>
      </c>
      <c r="F20" s="2" t="inlineStr">
        <is>
          <t>P1</t>
        </is>
      </c>
      <c r="G20" s="2" t="inlineStr">
        <is>
          <t>Use approved QA environment, required fixtures and authorized QA account; open the feature location. For access tests begin in stated signed-out state.</t>
        </is>
      </c>
      <c r="H20" s="2" t="inlineStr">
        <is>
          <t>QA-ALERTS</t>
        </is>
      </c>
      <c r="I20" s="2" t="inlineStr">
        <is>
          <t>Prepare QA notifications of multiple types; view categories; open linked action; mark read; dismiss selected record.</t>
        </is>
      </c>
      <c r="J20" s="2" t="inlineStr">
        <is>
          <t>Correct notification target opens; unread count, read/dismiss state reflect intended actions.</t>
        </is>
      </c>
      <c r="K20" s="2" t="inlineStr">
        <is>
          <t>Disposable notifications only.</t>
        </is>
      </c>
      <c r="L20" s="2" t="inlineStr">
        <is>
          <t>frontend/src/app/components/Header.tsx</t>
        </is>
      </c>
      <c r="M20" s="2" t="inlineStr">
        <is>
          <t>Not Run</t>
        </is>
      </c>
      <c r="N20" s="2" t="inlineStr"/>
      <c r="O20" s="2" t="inlineStr"/>
      <c r="P20" s="2" t="inlineStr"/>
      <c r="Q20" s="2" t="inlineStr"/>
      <c r="R20" s="2" t="inlineStr"/>
    </row>
    <row r="21" ht="110" customHeight="1">
      <c r="A21" s="3" t="inlineStr">
        <is>
          <t>TC-020</t>
        </is>
      </c>
      <c r="B21" s="3" t="inlineStr">
        <is>
          <t>F-007</t>
        </is>
      </c>
      <c r="C21" s="3" t="inlineStr">
        <is>
          <t>Navigation &amp; Header</t>
        </is>
      </c>
      <c r="D21" s="3" t="inlineStr">
        <is>
          <t>Notification management</t>
        </is>
      </c>
      <c r="E21" s="3" t="inlineStr">
        <is>
          <t>Validation / failure handling</t>
        </is>
      </c>
      <c r="F21" s="3" t="inlineStr">
        <is>
          <t>P1</t>
        </is>
      </c>
      <c r="G21" s="3" t="inlineStr">
        <is>
          <t>Use approved QA environment, required fixtures and authorized QA account; open the feature location. For access tests begin in stated signed-out state.</t>
        </is>
      </c>
      <c r="H21" s="3" t="inlineStr">
        <is>
          <t>QA-ALERTS</t>
        </is>
      </c>
      <c r="I21" s="3" t="inlineStr">
        <is>
          <t>Test no notifications and request failure; repeat mark/dismiss on same record.</t>
        </is>
      </c>
      <c r="J21" s="3" t="inlineStr">
        <is>
          <t>Honest empty/error state; no fake notifications, negative badge or duplicate side effect.</t>
        </is>
      </c>
      <c r="K21" s="3" t="inlineStr">
        <is>
          <t>Disposable notifications only.</t>
        </is>
      </c>
      <c r="L21" s="3" t="inlineStr">
        <is>
          <t>frontend/src/app/components/Header.tsx</t>
        </is>
      </c>
      <c r="M21" s="3" t="inlineStr">
        <is>
          <t>Not Run</t>
        </is>
      </c>
      <c r="N21" s="3" t="inlineStr"/>
      <c r="O21" s="3" t="inlineStr"/>
      <c r="P21" s="3" t="inlineStr"/>
      <c r="Q21" s="3" t="inlineStr"/>
      <c r="R21" s="3" t="inlineStr"/>
    </row>
    <row r="22" ht="110" customHeight="1">
      <c r="A22" s="2" t="inlineStr">
        <is>
          <t>TC-021</t>
        </is>
      </c>
      <c r="B22" s="2" t="inlineStr">
        <is>
          <t>F-007</t>
        </is>
      </c>
      <c r="C22" s="2" t="inlineStr">
        <is>
          <t>Navigation &amp; Header</t>
        </is>
      </c>
      <c r="D22" s="2" t="inlineStr">
        <is>
          <t>Notification management</t>
        </is>
      </c>
      <c r="E22" s="2" t="inlineStr">
        <is>
          <t>Correctness / persistence</t>
        </is>
      </c>
      <c r="F22" s="2" t="inlineStr">
        <is>
          <t>P1</t>
        </is>
      </c>
      <c r="G22" s="2" t="inlineStr">
        <is>
          <t>Use approved QA environment, required fixtures and authorized QA account; open the feature location. For access tests begin in stated signed-out state.</t>
        </is>
      </c>
      <c r="H22" s="2" t="inlineStr">
        <is>
          <t>QA-ALERTS</t>
        </is>
      </c>
      <c r="I22" s="2" t="inlineStr">
        <is>
          <t>Reload; check mark-all-read and category counts against stored notifications.</t>
        </is>
      </c>
      <c r="J22" s="2" t="inlineStr">
        <is>
          <t>Read/dismiss persists; counts and visible eligible records agree.</t>
        </is>
      </c>
      <c r="K22" s="2" t="inlineStr">
        <is>
          <t>Disposable notifications only.</t>
        </is>
      </c>
      <c r="L22" s="2" t="inlineStr">
        <is>
          <t>frontend/src/app/components/Header.tsx</t>
        </is>
      </c>
      <c r="M22" s="2" t="inlineStr">
        <is>
          <t>Not Run</t>
        </is>
      </c>
      <c r="N22" s="2" t="inlineStr"/>
      <c r="O22" s="2" t="inlineStr"/>
      <c r="P22" s="2" t="inlineStr"/>
      <c r="Q22" s="2" t="inlineStr"/>
      <c r="R22" s="2" t="inlineStr"/>
    </row>
    <row r="23" ht="110" customHeight="1">
      <c r="A23" s="3" t="inlineStr">
        <is>
          <t>TC-022</t>
        </is>
      </c>
      <c r="B23" s="3" t="inlineStr">
        <is>
          <t>F-008</t>
        </is>
      </c>
      <c r="C23" s="3" t="inlineStr">
        <is>
          <t>Home</t>
        </is>
      </c>
      <c r="D23" s="3" t="inlineStr">
        <is>
          <t>Priority alerts and snoozing</t>
        </is>
      </c>
      <c r="E23" s="3" t="inlineStr">
        <is>
          <t>Successful workflow</t>
        </is>
      </c>
      <c r="F23" s="3" t="inlineStr">
        <is>
          <t>P1</t>
        </is>
      </c>
      <c r="G23" s="3" t="inlineStr">
        <is>
          <t>Use approved QA environment, required fixtures and authorized QA account; open the feature location. For access tests begin in stated signed-out state.</t>
        </is>
      </c>
      <c r="H23" s="3" t="inlineStr">
        <is>
          <t>QA-ALERTS</t>
        </is>
      </c>
      <c r="I23" s="3" t="inlineStr">
        <is>
          <t>Load eligible QA alerts; inspect priorities/stack; follow target action and acknowledge/snooze selected alert.</t>
        </is>
      </c>
      <c r="J23" s="3" t="inlineStr">
        <is>
          <t>Correct severity/context and target; selected acknowledgment persisted.</t>
        </is>
      </c>
      <c r="K23" s="3" t="inlineStr">
        <is>
          <t>Use QA alerts; document/reset snoozes.</t>
        </is>
      </c>
      <c r="L23" s="3" t="inlineStr">
        <is>
          <t>frontend/src/app/pages/Home.tsx</t>
        </is>
      </c>
      <c r="M23" s="3" t="inlineStr">
        <is>
          <t>Not Run</t>
        </is>
      </c>
      <c r="N23" s="3" t="inlineStr"/>
      <c r="O23" s="3" t="inlineStr"/>
      <c r="P23" s="3" t="inlineStr"/>
      <c r="Q23" s="3" t="inlineStr"/>
      <c r="R23" s="3" t="inlineStr"/>
    </row>
    <row r="24" ht="110" customHeight="1">
      <c r="A24" s="2" t="inlineStr">
        <is>
          <t>TC-023</t>
        </is>
      </c>
      <c r="B24" s="2" t="inlineStr">
        <is>
          <t>F-008</t>
        </is>
      </c>
      <c r="C24" s="2" t="inlineStr">
        <is>
          <t>Home</t>
        </is>
      </c>
      <c r="D24" s="2" t="inlineStr">
        <is>
          <t>Priority alerts and snoozing</t>
        </is>
      </c>
      <c r="E24" s="2" t="inlineStr">
        <is>
          <t>Validation / failure handling</t>
        </is>
      </c>
      <c r="F24" s="2" t="inlineStr">
        <is>
          <t>P1</t>
        </is>
      </c>
      <c r="G24" s="2" t="inlineStr">
        <is>
          <t>Use approved QA environment, required fixtures and authorized QA account; open the feature location. For access tests begin in stated signed-out state.</t>
        </is>
      </c>
      <c r="H24" s="2" t="inlineStr">
        <is>
          <t>QA-ALERTS</t>
        </is>
      </c>
      <c r="I24" s="2" t="inlineStr">
        <is>
          <t>Use no-alert state and failed acknowledgment request; double-submit once under slow response.</t>
        </is>
      </c>
      <c r="J24" s="2" t="inlineStr">
        <is>
          <t>No fabricated alert/success; selected state retained on failure; duplicate action prevented.</t>
        </is>
      </c>
      <c r="K24" s="2" t="inlineStr">
        <is>
          <t>Use QA alerts; document/reset snoozes.</t>
        </is>
      </c>
      <c r="L24" s="2" t="inlineStr">
        <is>
          <t>frontend/src/app/pages/Home.tsx</t>
        </is>
      </c>
      <c r="M24" s="2" t="inlineStr">
        <is>
          <t>Not Run</t>
        </is>
      </c>
      <c r="N24" s="2" t="inlineStr"/>
      <c r="O24" s="2" t="inlineStr"/>
      <c r="P24" s="2" t="inlineStr"/>
      <c r="Q24" s="2" t="inlineStr"/>
      <c r="R24" s="2" t="inlineStr"/>
    </row>
    <row r="25" ht="110" customHeight="1">
      <c r="A25" s="3" t="inlineStr">
        <is>
          <t>TC-024</t>
        </is>
      </c>
      <c r="B25" s="3" t="inlineStr">
        <is>
          <t>F-008</t>
        </is>
      </c>
      <c r="C25" s="3" t="inlineStr">
        <is>
          <t>Home</t>
        </is>
      </c>
      <c r="D25" s="3" t="inlineStr">
        <is>
          <t>Priority alerts and snoozing</t>
        </is>
      </c>
      <c r="E25" s="3" t="inlineStr">
        <is>
          <t>Correctness / persistence</t>
        </is>
      </c>
      <c r="F25" s="3" t="inlineStr">
        <is>
          <t>P1</t>
        </is>
      </c>
      <c r="G25" s="3" t="inlineStr">
        <is>
          <t>Use approved QA environment, required fixtures and authorized QA account; open the feature location. For access tests begin in stated signed-out state.</t>
        </is>
      </c>
      <c r="H25" s="3" t="inlineStr">
        <is>
          <t>QA-ALERTS</t>
        </is>
      </c>
      <c r="I25" s="3" t="inlineStr">
        <is>
          <t>Reload and find related audit record; compare snooze expiry and alert eligibility.</t>
        </is>
      </c>
      <c r="J25" s="3" t="inlineStr">
        <is>
          <t>Correct alert ID, owner action, configured snooze interval and audit state.</t>
        </is>
      </c>
      <c r="K25" s="3" t="inlineStr">
        <is>
          <t>Use QA alerts; document/reset snoozes.</t>
        </is>
      </c>
      <c r="L25" s="3" t="inlineStr">
        <is>
          <t>frontend/src/app/pages/Home.tsx</t>
        </is>
      </c>
      <c r="M25" s="3" t="inlineStr">
        <is>
          <t>Not Run</t>
        </is>
      </c>
      <c r="N25" s="3" t="inlineStr"/>
      <c r="O25" s="3" t="inlineStr"/>
      <c r="P25" s="3" t="inlineStr"/>
      <c r="Q25" s="3" t="inlineStr"/>
      <c r="R25" s="3" t="inlineStr"/>
    </row>
    <row r="26" ht="110" customHeight="1">
      <c r="A26" s="2" t="inlineStr">
        <is>
          <t>TC-025</t>
        </is>
      </c>
      <c r="B26" s="2" t="inlineStr">
        <is>
          <t>F-009</t>
        </is>
      </c>
      <c r="C26" s="2" t="inlineStr">
        <is>
          <t>Data Ingestion</t>
        </is>
      </c>
      <c r="D26" s="2" t="inlineStr">
        <is>
          <t>Transaction import and ETL</t>
        </is>
      </c>
      <c r="E26" s="2" t="inlineStr">
        <is>
          <t>Successful workflow</t>
        </is>
      </c>
      <c r="F26" s="2" t="inlineStr">
        <is>
          <t>P0</t>
        </is>
      </c>
      <c r="G26" s="2" t="inlineStr">
        <is>
          <t>Use approved QA environment, required fixtures and authorized QA account; open the feature location. For access tests begin in stated signed-out state.</t>
        </is>
      </c>
      <c r="H26" s="2" t="inlineStr">
        <is>
          <t>QA-UPLOAD</t>
        </is>
      </c>
      <c r="I26" s="2" t="inlineStr">
        <is>
          <t>Import approved POS CSV/Excel, Shopee and TikTok QA exports through ingestion center.</t>
        </is>
      </c>
      <c r="J26" s="2" t="inlineStr">
        <is>
          <t>Accepted rows persist in proper sector/channel; upload history, ETL counts and totals agree.</t>
        </is>
      </c>
      <c r="K26" s="2" t="inlineStr">
        <is>
          <t>Isolated QA database; retain original export and remove QA uploads afterward.</t>
        </is>
      </c>
      <c r="L26" s="2" t="inlineStr">
        <is>
          <t>frontend/src/app/components/DataIngestion.tsx</t>
        </is>
      </c>
      <c r="M26" s="2" t="inlineStr">
        <is>
          <t>Not Run</t>
        </is>
      </c>
      <c r="N26" s="2" t="inlineStr"/>
      <c r="O26" s="2" t="inlineStr"/>
      <c r="P26" s="2" t="inlineStr"/>
      <c r="Q26" s="2" t="inlineStr"/>
      <c r="R26" s="2" t="inlineStr"/>
    </row>
    <row r="27" ht="110" customHeight="1">
      <c r="A27" s="3" t="inlineStr">
        <is>
          <t>TC-026</t>
        </is>
      </c>
      <c r="B27" s="3" t="inlineStr">
        <is>
          <t>F-009</t>
        </is>
      </c>
      <c r="C27" s="3" t="inlineStr">
        <is>
          <t>Data Ingestion</t>
        </is>
      </c>
      <c r="D27" s="3" t="inlineStr">
        <is>
          <t>Transaction import and ETL</t>
        </is>
      </c>
      <c r="E27" s="3" t="inlineStr">
        <is>
          <t>Validation / failure handling</t>
        </is>
      </c>
      <c r="F27" s="3" t="inlineStr">
        <is>
          <t>P0</t>
        </is>
      </c>
      <c r="G27" s="3" t="inlineStr">
        <is>
          <t>Use approved QA environment, required fixtures and authorized QA account; open the feature location. For access tests begin in stated signed-out state.</t>
        </is>
      </c>
      <c r="H27" s="3" t="inlineStr">
        <is>
          <t>QA-UPLOAD</t>
        </is>
      </c>
      <c r="I27" s="3" t="inlineStr">
        <is>
          <t>Try unsupported, empty, malformed, oversized and duplicate-row files separately.</t>
        </is>
      </c>
      <c r="J27" s="3" t="inlineStr">
        <is>
          <t>Invalid files/rows are clearly rejected/reported; no fabricated successful import; accepted rows only affect totals.</t>
        </is>
      </c>
      <c r="K27" s="3" t="inlineStr">
        <is>
          <t>Isolated QA database; retain original export and remove QA uploads afterward.</t>
        </is>
      </c>
      <c r="L27" s="3" t="inlineStr">
        <is>
          <t>frontend/src/app/components/DataIngestion.tsx</t>
        </is>
      </c>
      <c r="M27" s="3" t="inlineStr">
        <is>
          <t>Not Run</t>
        </is>
      </c>
      <c r="N27" s="3" t="inlineStr"/>
      <c r="O27" s="3" t="inlineStr"/>
      <c r="P27" s="3" t="inlineStr"/>
      <c r="Q27" s="3" t="inlineStr"/>
      <c r="R27" s="3" t="inlineStr"/>
    </row>
    <row r="28" ht="110" customHeight="1">
      <c r="A28" s="2" t="inlineStr">
        <is>
          <t>TC-027</t>
        </is>
      </c>
      <c r="B28" s="2" t="inlineStr">
        <is>
          <t>F-009</t>
        </is>
      </c>
      <c r="C28" s="2" t="inlineStr">
        <is>
          <t>Data Ingestion</t>
        </is>
      </c>
      <c r="D28" s="2" t="inlineStr">
        <is>
          <t>Transaction import and ETL</t>
        </is>
      </c>
      <c r="E28" s="2" t="inlineStr">
        <is>
          <t>Correctness / persistence</t>
        </is>
      </c>
      <c r="F28" s="2" t="inlineStr">
        <is>
          <t>P0</t>
        </is>
      </c>
      <c r="G28" s="2" t="inlineStr">
        <is>
          <t>Use approved QA environment, required fixtures and authorized QA account; open the feature location. For access tests begin in stated signed-out state.</t>
        </is>
      </c>
      <c r="H28" s="2" t="inlineStr">
        <is>
          <t>QA-UPLOAD</t>
        </is>
      </c>
      <c r="I28" s="2" t="inlineStr">
        <is>
          <t>Compare raw fixture, accepted transactions, history and affected dashboards after refresh.</t>
        </is>
      </c>
      <c r="J28" s="2" t="inlineStr">
        <is>
          <t>Row/order/quantity/net totals reconcile; updates invalidate stale analytics.</t>
        </is>
      </c>
      <c r="K28" s="2" t="inlineStr">
        <is>
          <t>Isolated QA database; retain original export and remove QA uploads afterward.</t>
        </is>
      </c>
      <c r="L28" s="2" t="inlineStr">
        <is>
          <t>frontend/src/app/components/DataIngestion.tsx</t>
        </is>
      </c>
      <c r="M28" s="2" t="inlineStr">
        <is>
          <t>Not Run</t>
        </is>
      </c>
      <c r="N28" s="2" t="inlineStr"/>
      <c r="O28" s="2" t="inlineStr"/>
      <c r="P28" s="2" t="inlineStr"/>
      <c r="Q28" s="2" t="inlineStr"/>
      <c r="R28" s="2" t="inlineStr"/>
    </row>
    <row r="29" ht="110" customHeight="1">
      <c r="A29" s="3" t="inlineStr">
        <is>
          <t>TC-028</t>
        </is>
      </c>
      <c r="B29" s="3" t="inlineStr">
        <is>
          <t>F-010</t>
        </is>
      </c>
      <c r="C29" s="3" t="inlineStr">
        <is>
          <t>Data Ingestion</t>
        </is>
      </c>
      <c r="D29" s="3" t="inlineStr">
        <is>
          <t>Import replacement and deletion</t>
        </is>
      </c>
      <c r="E29" s="3" t="inlineStr">
        <is>
          <t>Successful workflow</t>
        </is>
      </c>
      <c r="F29" s="3" t="inlineStr">
        <is>
          <t>P1</t>
        </is>
      </c>
      <c r="G29" s="3" t="inlineStr">
        <is>
          <t>Use approved QA environment, required fixtures and authorized QA account; open the feature location. For access tests begin in stated signed-out state.</t>
        </is>
      </c>
      <c r="H29" s="3" t="inlineStr">
        <is>
          <t>QA-UPLOAD</t>
        </is>
      </c>
      <c r="I29" s="3" t="inlineStr">
        <is>
          <t>Import revised same-channel/month QA file; verify replacement policy; delete disposable QA upload.</t>
        </is>
      </c>
      <c r="J29" s="3" t="inlineStr">
        <is>
          <t>Only intended old dataset is replaced/deleted; history and totals refresh.</t>
        </is>
      </c>
      <c r="K29" s="3" t="inlineStr">
        <is>
          <t>Backup disposable QA data; never run deletion/replacement against production.</t>
        </is>
      </c>
      <c r="L29" s="3" t="inlineStr">
        <is>
          <t>frontend/src/app/components/DataIngestion.tsx</t>
        </is>
      </c>
      <c r="M29" s="3" t="inlineStr">
        <is>
          <t>Not Run</t>
        </is>
      </c>
      <c r="N29" s="3" t="inlineStr"/>
      <c r="O29" s="3" t="inlineStr"/>
      <c r="P29" s="3" t="inlineStr"/>
      <c r="Q29" s="3" t="inlineStr"/>
      <c r="R29" s="3" t="inlineStr"/>
    </row>
    <row r="30" ht="110" customHeight="1">
      <c r="A30" s="2" t="inlineStr">
        <is>
          <t>TC-029</t>
        </is>
      </c>
      <c r="B30" s="2" t="inlineStr">
        <is>
          <t>F-010</t>
        </is>
      </c>
      <c r="C30" s="2" t="inlineStr">
        <is>
          <t>Data Ingestion</t>
        </is>
      </c>
      <c r="D30" s="2" t="inlineStr">
        <is>
          <t>Import replacement and deletion</t>
        </is>
      </c>
      <c r="E30" s="2" t="inlineStr">
        <is>
          <t>Validation / failure handling</t>
        </is>
      </c>
      <c r="F30" s="2" t="inlineStr">
        <is>
          <t>P1</t>
        </is>
      </c>
      <c r="G30" s="2" t="inlineStr">
        <is>
          <t>Use approved QA environment, required fixtures and authorized QA account; open the feature location. For access tests begin in stated signed-out state.</t>
        </is>
      </c>
      <c r="H30" s="2" t="inlineStr">
        <is>
          <t>QA-UPLOAD</t>
        </is>
      </c>
      <c r="I30" s="2" t="inlineStr">
        <is>
          <t>Cancel deletion and induce import/delete persistence failures separately.</t>
        </is>
      </c>
      <c r="J30" s="2" t="inlineStr">
        <is>
          <t>Cancel preserves data; failure never claims success or removes unrelated records.</t>
        </is>
      </c>
      <c r="K30" s="2" t="inlineStr">
        <is>
          <t>Backup disposable QA data; never run deletion/replacement against production.</t>
        </is>
      </c>
      <c r="L30" s="2" t="inlineStr">
        <is>
          <t>frontend/src/app/components/DataIngestion.tsx</t>
        </is>
      </c>
      <c r="M30" s="2" t="inlineStr">
        <is>
          <t>Not Run</t>
        </is>
      </c>
      <c r="N30" s="2" t="inlineStr"/>
      <c r="O30" s="2" t="inlineStr"/>
      <c r="P30" s="2" t="inlineStr"/>
      <c r="Q30" s="2" t="inlineStr"/>
      <c r="R30" s="2" t="inlineStr"/>
    </row>
    <row r="31" ht="110" customHeight="1">
      <c r="A31" s="3" t="inlineStr">
        <is>
          <t>TC-030</t>
        </is>
      </c>
      <c r="B31" s="3" t="inlineStr">
        <is>
          <t>F-010</t>
        </is>
      </c>
      <c r="C31" s="3" t="inlineStr">
        <is>
          <t>Data Ingestion</t>
        </is>
      </c>
      <c r="D31" s="3" t="inlineStr">
        <is>
          <t>Import replacement and deletion</t>
        </is>
      </c>
      <c r="E31" s="3" t="inlineStr">
        <is>
          <t>Correctness / persistence</t>
        </is>
      </c>
      <c r="F31" s="3" t="inlineStr">
        <is>
          <t>P1</t>
        </is>
      </c>
      <c r="G31" s="3" t="inlineStr">
        <is>
          <t>Use approved QA environment, required fixtures and authorized QA account; open the feature location. For access tests begin in stated signed-out state.</t>
        </is>
      </c>
      <c r="H31" s="3" t="inlineStr">
        <is>
          <t>QA-UPLOAD</t>
        </is>
      </c>
      <c r="I31" s="3" t="inlineStr">
        <is>
          <t>Compare other channels/months before/after; reload and inspect audit/history.</t>
        </is>
      </c>
      <c r="J31" s="3" t="inlineStr">
        <is>
          <t>Unrelated uploads remain byte/data-equivalent; no unexplained duplicate revenue.</t>
        </is>
      </c>
      <c r="K31" s="3" t="inlineStr">
        <is>
          <t>Backup disposable QA data; never run deletion/replacement against production.</t>
        </is>
      </c>
      <c r="L31" s="3" t="inlineStr">
        <is>
          <t>frontend/src/app/components/DataIngestion.tsx</t>
        </is>
      </c>
      <c r="M31" s="3" t="inlineStr">
        <is>
          <t>Not Run</t>
        </is>
      </c>
      <c r="N31" s="3" t="inlineStr"/>
      <c r="O31" s="3" t="inlineStr"/>
      <c r="P31" s="3" t="inlineStr"/>
      <c r="Q31" s="3" t="inlineStr"/>
      <c r="R31" s="3" t="inlineStr"/>
    </row>
    <row r="32" ht="110" customHeight="1">
      <c r="A32" s="2" t="inlineStr">
        <is>
          <t>TC-031</t>
        </is>
      </c>
      <c r="B32" s="2" t="inlineStr">
        <is>
          <t>F-011</t>
        </is>
      </c>
      <c r="C32" s="2" t="inlineStr">
        <is>
          <t>Data Ingestion</t>
        </is>
      </c>
      <c r="D32" s="2" t="inlineStr">
        <is>
          <t>PetHub transaction-ingestion exclusion</t>
        </is>
      </c>
      <c r="E32" s="2" t="inlineStr">
        <is>
          <t>Successful workflow</t>
        </is>
      </c>
      <c r="F32" s="2" t="inlineStr">
        <is>
          <t>P0</t>
        </is>
      </c>
      <c r="G32" s="2" t="inlineStr">
        <is>
          <t>Use approved QA environment, required fixtures and authorized QA account; open the feature location. For access tests begin in stated signed-out state.</t>
        </is>
      </c>
      <c r="H32" s="2" t="inlineStr">
        <is>
          <t>QA-UPLOAD / QA-INVENTORY</t>
        </is>
      </c>
      <c r="I32" s="2" t="inlineStr">
        <is>
          <t>Attempt explicit PetHub transaction upload and recognizable PetHub file mislabeled as POS.</t>
        </is>
      </c>
      <c r="J32" s="2" t="inlineStr">
        <is>
          <t>Both rejected before transactions/storage/ETL side effects.</t>
        </is>
      </c>
      <c r="K32" s="2" t="inlineStr">
        <is>
          <t>Dummy QA payloads only.</t>
        </is>
      </c>
      <c r="L32" s="2" t="inlineStr">
        <is>
          <t>frontend/src/app/components/DataIngestion.tsx</t>
        </is>
      </c>
      <c r="M32" s="2" t="inlineStr">
        <is>
          <t>Not Run</t>
        </is>
      </c>
      <c r="N32" s="2" t="inlineStr"/>
      <c r="O32" s="2" t="inlineStr"/>
      <c r="P32" s="2" t="inlineStr"/>
      <c r="Q32" s="2" t="inlineStr"/>
      <c r="R32" s="2" t="inlineStr"/>
    </row>
    <row r="33" ht="110" customHeight="1">
      <c r="A33" s="3" t="inlineStr">
        <is>
          <t>TC-032</t>
        </is>
      </c>
      <c r="B33" s="3" t="inlineStr">
        <is>
          <t>F-011</t>
        </is>
      </c>
      <c r="C33" s="3" t="inlineStr">
        <is>
          <t>Data Ingestion</t>
        </is>
      </c>
      <c r="D33" s="3" t="inlineStr">
        <is>
          <t>PetHub transaction-ingestion exclusion</t>
        </is>
      </c>
      <c r="E33" s="3" t="inlineStr">
        <is>
          <t>Validation / failure handling</t>
        </is>
      </c>
      <c r="F33" s="3" t="inlineStr">
        <is>
          <t>P0</t>
        </is>
      </c>
      <c r="G33" s="3" t="inlineStr">
        <is>
          <t>Use approved QA environment, required fixtures and authorized QA account; open the feature location. For access tests begin in stated signed-out state.</t>
        </is>
      </c>
      <c r="H33" s="3" t="inlineStr">
        <is>
          <t>QA-UPLOAD / QA-INVENTORY</t>
        </is>
      </c>
      <c r="I33" s="3" t="inlineStr">
        <is>
          <t>Attempt disabled transaction webhook endpoint with approved dummy QA payload.</t>
        </is>
      </c>
      <c r="J33" s="3" t="inlineStr">
        <is>
          <t>Endpoint remains unavailable/forbidden; no transaction enters system.</t>
        </is>
      </c>
      <c r="K33" s="3" t="inlineStr">
        <is>
          <t>Dummy QA payloads only.</t>
        </is>
      </c>
      <c r="L33" s="3" t="inlineStr">
        <is>
          <t>frontend/src/app/components/DataIngestion.tsx</t>
        </is>
      </c>
      <c r="M33" s="3" t="inlineStr">
        <is>
          <t>Not Run</t>
        </is>
      </c>
      <c r="N33" s="3" t="inlineStr"/>
      <c r="O33" s="3" t="inlineStr"/>
      <c r="P33" s="3" t="inlineStr"/>
      <c r="Q33" s="3" t="inlineStr"/>
      <c r="R33" s="3" t="inlineStr"/>
    </row>
    <row r="34" ht="110" customHeight="1">
      <c r="A34" s="2" t="inlineStr">
        <is>
          <t>TC-033</t>
        </is>
      </c>
      <c r="B34" s="2" t="inlineStr">
        <is>
          <t>F-011</t>
        </is>
      </c>
      <c r="C34" s="2" t="inlineStr">
        <is>
          <t>Data Ingestion</t>
        </is>
      </c>
      <c r="D34" s="2" t="inlineStr">
        <is>
          <t>PetHub transaction-ingestion exclusion</t>
        </is>
      </c>
      <c r="E34" s="2" t="inlineStr">
        <is>
          <t>Correctness / persistence</t>
        </is>
      </c>
      <c r="F34" s="2" t="inlineStr">
        <is>
          <t>P0</t>
        </is>
      </c>
      <c r="G34" s="2" t="inlineStr">
        <is>
          <t>Use approved QA environment, required fixtures and authorized QA account; open the feature location. For access tests begin in stated signed-out state.</t>
        </is>
      </c>
      <c r="H34" s="2" t="inlineStr">
        <is>
          <t>QA-UPLOAD / QA-INVENTORY</t>
        </is>
      </c>
      <c r="I34" s="2" t="inlineStr">
        <is>
          <t>Compare transaction count before/after; refresh legitimate inventory snapshot.</t>
        </is>
      </c>
      <c r="J34" s="2" t="inlineStr">
        <is>
          <t>Transactions unchanged; separate read-only stock integration is unaffected.</t>
        </is>
      </c>
      <c r="K34" s="2" t="inlineStr">
        <is>
          <t>Dummy QA payloads only.</t>
        </is>
      </c>
      <c r="L34" s="2" t="inlineStr">
        <is>
          <t>frontend/src/app/components/DataIngestion.tsx</t>
        </is>
      </c>
      <c r="M34" s="2" t="inlineStr">
        <is>
          <t>Not Run</t>
        </is>
      </c>
      <c r="N34" s="2" t="inlineStr"/>
      <c r="O34" s="2" t="inlineStr"/>
      <c r="P34" s="2" t="inlineStr"/>
      <c r="Q34" s="2" t="inlineStr"/>
      <c r="R34" s="2" t="inlineStr"/>
    </row>
    <row r="35" ht="110" customHeight="1">
      <c r="A35" s="3" t="inlineStr">
        <is>
          <t>TC-034</t>
        </is>
      </c>
      <c r="B35" s="3" t="inlineStr">
        <is>
          <t>F-012</t>
        </is>
      </c>
      <c r="C35" s="3" t="inlineStr">
        <is>
          <t>Home</t>
        </is>
      </c>
      <c r="D35" s="3" t="inlineStr">
        <is>
          <t>Omnichannel KPI analytics</t>
        </is>
      </c>
      <c r="E35" s="3" t="inlineStr">
        <is>
          <t>Successful workflow</t>
        </is>
      </c>
      <c r="F35" s="3" t="inlineStr">
        <is>
          <t>P0</t>
        </is>
      </c>
      <c r="G35" s="3" t="inlineStr">
        <is>
          <t>Use approved QA environment, required fixtures and authorized QA account; open the feature location. For access tests begin in stated signed-out state.</t>
        </is>
      </c>
      <c r="H35" s="3" t="inlineStr">
        <is>
          <t>QA-LEDGER</t>
        </is>
      </c>
      <c r="I35" s="3" t="inlineStr">
        <is>
          <t>Load known QA reporting window; inspect Home KPIs and drilldown definitions.</t>
        </is>
      </c>
      <c r="J35" s="3" t="inlineStr">
        <is>
          <t>Net revenue, distinct orders and AOV agree with selected source scope.</t>
        </is>
      </c>
      <c r="K35" s="3" t="inlineStr">
        <is>
          <t>Read-only; restore temporary QA filters/settings.</t>
        </is>
      </c>
      <c r="L35" s="3" t="inlineStr">
        <is>
          <t>frontend/src/app/pages/Home.tsx</t>
        </is>
      </c>
      <c r="M35" s="3" t="inlineStr">
        <is>
          <t>Not Run</t>
        </is>
      </c>
      <c r="N35" s="3" t="inlineStr"/>
      <c r="O35" s="3" t="inlineStr"/>
      <c r="P35" s="3" t="inlineStr"/>
      <c r="Q35" s="3" t="inlineStr"/>
      <c r="R35" s="3" t="inlineStr"/>
    </row>
    <row r="36" ht="110" customHeight="1">
      <c r="A36" s="2" t="inlineStr">
        <is>
          <t>TC-035</t>
        </is>
      </c>
      <c r="B36" s="2" t="inlineStr">
        <is>
          <t>F-012</t>
        </is>
      </c>
      <c r="C36" s="2" t="inlineStr">
        <is>
          <t>Home</t>
        </is>
      </c>
      <c r="D36" s="2" t="inlineStr">
        <is>
          <t>Omnichannel KPI analytics</t>
        </is>
      </c>
      <c r="E36" s="2" t="inlineStr">
        <is>
          <t>Validation / failure handling</t>
        </is>
      </c>
      <c r="F36" s="2" t="inlineStr">
        <is>
          <t>P0</t>
        </is>
      </c>
      <c r="G36" s="2" t="inlineStr">
        <is>
          <t>Use approved QA environment, required fixtures and authorized QA account; open the feature location. For access tests begin in stated signed-out state.</t>
        </is>
      </c>
      <c r="H36" s="2" t="inlineStr">
        <is>
          <t>QA-LEDGER</t>
        </is>
      </c>
      <c r="I36" s="2" t="inlineStr">
        <is>
          <t>Use no-order/no-data window and fail QA analytics request.</t>
        </is>
      </c>
      <c r="J36" s="2" t="inlineStr">
        <is>
          <t>No NaN/infinity/fabricated KPIs; unavailable vs true zero is distinguishable.</t>
        </is>
      </c>
      <c r="K36" s="2" t="inlineStr">
        <is>
          <t>Read-only; restore temporary QA filters/settings.</t>
        </is>
      </c>
      <c r="L36" s="2" t="inlineStr">
        <is>
          <t>frontend/src/app/pages/Home.tsx</t>
        </is>
      </c>
      <c r="M36" s="2" t="inlineStr">
        <is>
          <t>Not Run</t>
        </is>
      </c>
      <c r="N36" s="2" t="inlineStr"/>
      <c r="O36" s="2" t="inlineStr"/>
      <c r="P36" s="2" t="inlineStr"/>
      <c r="Q36" s="2" t="inlineStr"/>
      <c r="R36" s="2" t="inlineStr"/>
    </row>
    <row r="37" ht="110" customHeight="1">
      <c r="A37" s="3" t="inlineStr">
        <is>
          <t>TC-036</t>
        </is>
      </c>
      <c r="B37" s="3" t="inlineStr">
        <is>
          <t>F-012</t>
        </is>
      </c>
      <c r="C37" s="3" t="inlineStr">
        <is>
          <t>Home</t>
        </is>
      </c>
      <c r="D37" s="3" t="inlineStr">
        <is>
          <t>Omnichannel KPI analytics</t>
        </is>
      </c>
      <c r="E37" s="3" t="inlineStr">
        <is>
          <t>Correctness / persistence</t>
        </is>
      </c>
      <c r="F37" s="3" t="inlineStr">
        <is>
          <t>P0</t>
        </is>
      </c>
      <c r="G37" s="3" t="inlineStr">
        <is>
          <t>Use approved QA environment, required fixtures and authorized QA account; open the feature location. For access tests begin in stated signed-out state.</t>
        </is>
      </c>
      <c r="H37" s="3" t="inlineStr">
        <is>
          <t>QA-LEDGER</t>
        </is>
      </c>
      <c r="I37" s="3" t="inlineStr">
        <is>
          <t>Reconcile current QA ledger: net1210, orders5, AOV242; compare prior900 and sector totals.</t>
        </is>
      </c>
      <c r="J37" s="3" t="inlineStr">
        <is>
          <t>Financial identity and drilldowns match; multi-line order C001 counted once.</t>
        </is>
      </c>
      <c r="K37" s="3" t="inlineStr">
        <is>
          <t>Read-only; restore temporary QA filters/settings.</t>
        </is>
      </c>
      <c r="L37" s="3" t="inlineStr">
        <is>
          <t>frontend/src/app/pages/Home.tsx</t>
        </is>
      </c>
      <c r="M37" s="3" t="inlineStr">
        <is>
          <t>Not Run</t>
        </is>
      </c>
      <c r="N37" s="3" t="inlineStr"/>
      <c r="O37" s="3" t="inlineStr"/>
      <c r="P37" s="3" t="inlineStr"/>
      <c r="Q37" s="3" t="inlineStr"/>
      <c r="R37" s="3" t="inlineStr"/>
    </row>
    <row r="38" ht="110" customHeight="1">
      <c r="A38" s="2" t="inlineStr">
        <is>
          <t>TC-037</t>
        </is>
      </c>
      <c r="B38" s="2" t="inlineStr">
        <is>
          <t>F-013</t>
        </is>
      </c>
      <c r="C38" s="2" t="inlineStr">
        <is>
          <t>Home</t>
        </is>
      </c>
      <c r="D38" s="2" t="inlineStr">
        <is>
          <t>Revenue composition and channel exploration</t>
        </is>
      </c>
      <c r="E38" s="2" t="inlineStr">
        <is>
          <t>Successful workflow</t>
        </is>
      </c>
      <c r="F38" s="2" t="inlineStr">
        <is>
          <t>P1</t>
        </is>
      </c>
      <c r="G38" s="2" t="inlineStr">
        <is>
          <t>Use approved QA environment, required fixtures and authorized QA account; open the feature location. For access tests begin in stated signed-out state.</t>
        </is>
      </c>
      <c r="H38" s="2" t="inlineStr">
        <is>
          <t>QA-LEDGER</t>
        </is>
      </c>
      <c r="I38" s="2" t="inlineStr">
        <is>
          <t>Change chart period; use sectors vs platform split; isolate physical/digital/retail series; follow Deep Dive.</t>
        </is>
      </c>
      <c r="J38" s="2" t="inlineStr">
        <is>
          <t>Correct composition and target page; chart scopes agree with labels.</t>
        </is>
      </c>
      <c r="K38" s="2" t="inlineStr">
        <is>
          <t>Read-only; restore temporary QA filters/settings.</t>
        </is>
      </c>
      <c r="L38" s="2" t="inlineStr">
        <is>
          <t>frontend/src/app/pages/Home.tsx</t>
        </is>
      </c>
      <c r="M38" s="2" t="inlineStr">
        <is>
          <t>Not Run</t>
        </is>
      </c>
      <c r="N38" s="2" t="inlineStr"/>
      <c r="O38" s="2" t="inlineStr"/>
      <c r="P38" s="2" t="inlineStr"/>
      <c r="Q38" s="2" t="inlineStr"/>
      <c r="R38" s="2" t="inlineStr"/>
    </row>
    <row r="39" ht="110" customHeight="1">
      <c r="A39" s="3" t="inlineStr">
        <is>
          <t>TC-038</t>
        </is>
      </c>
      <c r="B39" s="3" t="inlineStr">
        <is>
          <t>F-013</t>
        </is>
      </c>
      <c r="C39" s="3" t="inlineStr">
        <is>
          <t>Home</t>
        </is>
      </c>
      <c r="D39" s="3" t="inlineStr">
        <is>
          <t>Revenue composition and channel exploration</t>
        </is>
      </c>
      <c r="E39" s="3" t="inlineStr">
        <is>
          <t>Validation / failure handling</t>
        </is>
      </c>
      <c r="F39" s="3" t="inlineStr">
        <is>
          <t>P1</t>
        </is>
      </c>
      <c r="G39" s="3" t="inlineStr">
        <is>
          <t>Use approved QA environment, required fixtures and authorized QA account; open the feature location. For access tests begin in stated signed-out state.</t>
        </is>
      </c>
      <c r="H39" s="3" t="inlineStr">
        <is>
          <t>QA-LEDGER</t>
        </is>
      </c>
      <c r="I39" s="3" t="inlineStr">
        <is>
          <t>Use channel with no rows and toggle all series off/on.</t>
        </is>
      </c>
      <c r="J39" s="3" t="inlineStr">
        <is>
          <t>Clear empty/hidden-series behavior; visual hiding does not rewrite KPI totals.</t>
        </is>
      </c>
      <c r="K39" s="3" t="inlineStr">
        <is>
          <t>Read-only; restore temporary QA filters/settings.</t>
        </is>
      </c>
      <c r="L39" s="3" t="inlineStr">
        <is>
          <t>frontend/src/app/pages/Home.tsx</t>
        </is>
      </c>
      <c r="M39" s="3" t="inlineStr">
        <is>
          <t>Not Run</t>
        </is>
      </c>
      <c r="N39" s="3" t="inlineStr"/>
      <c r="O39" s="3" t="inlineStr"/>
      <c r="P39" s="3" t="inlineStr"/>
      <c r="Q39" s="3" t="inlineStr"/>
      <c r="R39" s="3" t="inlineStr"/>
    </row>
    <row r="40" ht="110" customHeight="1">
      <c r="A40" s="2" t="inlineStr">
        <is>
          <t>TC-039</t>
        </is>
      </c>
      <c r="B40" s="2" t="inlineStr">
        <is>
          <t>F-013</t>
        </is>
      </c>
      <c r="C40" s="2" t="inlineStr">
        <is>
          <t>Home</t>
        </is>
      </c>
      <c r="D40" s="2" t="inlineStr">
        <is>
          <t>Revenue composition and channel exploration</t>
        </is>
      </c>
      <c r="E40" s="2" t="inlineStr">
        <is>
          <t>Correctness / persistence</t>
        </is>
      </c>
      <c r="F40" s="2" t="inlineStr">
        <is>
          <t>P1</t>
        </is>
      </c>
      <c r="G40" s="2" t="inlineStr">
        <is>
          <t>Use approved QA environment, required fixtures and authorized QA account; open the feature location. For access tests begin in stated signed-out state.</t>
        </is>
      </c>
      <c r="H40" s="2" t="inlineStr">
        <is>
          <t>QA-LEDGER</t>
        </is>
      </c>
      <c r="I40" s="2" t="inlineStr">
        <is>
          <t>Compare combined and split totals, tooltip values and Retail breakdown for same scope.</t>
        </is>
      </c>
      <c r="J40" s="2" t="inlineStr">
        <is>
          <t>Alternative breakdowns reconcile to same sales; no duplication of retail contributions.</t>
        </is>
      </c>
      <c r="K40" s="2" t="inlineStr">
        <is>
          <t>Read-only; restore temporary QA filters/settings.</t>
        </is>
      </c>
      <c r="L40" s="2" t="inlineStr">
        <is>
          <t>frontend/src/app/pages/Home.tsx</t>
        </is>
      </c>
      <c r="M40" s="2" t="inlineStr">
        <is>
          <t>Not Run</t>
        </is>
      </c>
      <c r="N40" s="2" t="inlineStr"/>
      <c r="O40" s="2" t="inlineStr"/>
      <c r="P40" s="2" t="inlineStr"/>
      <c r="Q40" s="2" t="inlineStr"/>
      <c r="R40" s="2" t="inlineStr"/>
    </row>
    <row r="41" ht="110" customHeight="1">
      <c r="A41" s="3" t="inlineStr">
        <is>
          <t>TC-040</t>
        </is>
      </c>
      <c r="B41" s="3" t="inlineStr">
        <is>
          <t>F-014</t>
        </is>
      </c>
      <c r="C41" s="3" t="inlineStr">
        <is>
          <t>Home</t>
        </is>
      </c>
      <c r="D41" s="3" t="inlineStr">
        <is>
          <t>Demand heatmap</t>
        </is>
      </c>
      <c r="E41" s="3" t="inlineStr">
        <is>
          <t>Successful workflow</t>
        </is>
      </c>
      <c r="F41" s="3" t="inlineStr">
        <is>
          <t>P1</t>
        </is>
      </c>
      <c r="G41" s="3" t="inlineStr">
        <is>
          <t>Use approved QA environment, required fixtures and authorized QA account; open the feature location. For access tests begin in stated signed-out state.</t>
        </is>
      </c>
      <c r="H41" s="3" t="inlineStr">
        <is>
          <t>QA-FORECAST</t>
        </is>
      </c>
      <c r="I41" s="3" t="inlineStr">
        <is>
          <t>View Cafe+Services, Cafe and Services demand; inspect specific cells and mobile morning/afternoon windows.</t>
        </is>
      </c>
      <c r="J41" s="3" t="inlineStr">
        <is>
          <t>Correct sector/hour/date and forecast units shown; all relevant cells reachable.</t>
        </is>
      </c>
      <c r="K41" s="3" t="inlineStr">
        <is>
          <t>Read-only; restore temporary QA filters/settings.</t>
        </is>
      </c>
      <c r="L41" s="3" t="inlineStr">
        <is>
          <t>frontend/src/app/pages/Home.tsx</t>
        </is>
      </c>
      <c r="M41" s="3" t="inlineStr">
        <is>
          <t>Not Run</t>
        </is>
      </c>
      <c r="N41" s="3" t="inlineStr"/>
      <c r="O41" s="3" t="inlineStr"/>
      <c r="P41" s="3" t="inlineStr"/>
      <c r="Q41" s="3" t="inlineStr"/>
      <c r="R41" s="3" t="inlineStr"/>
    </row>
    <row r="42" ht="110" customHeight="1">
      <c r="A42" s="2" t="inlineStr">
        <is>
          <t>TC-041</t>
        </is>
      </c>
      <c r="B42" s="2" t="inlineStr">
        <is>
          <t>F-014</t>
        </is>
      </c>
      <c r="C42" s="2" t="inlineStr">
        <is>
          <t>Home</t>
        </is>
      </c>
      <c r="D42" s="2" t="inlineStr">
        <is>
          <t>Demand heatmap</t>
        </is>
      </c>
      <c r="E42" s="2" t="inlineStr">
        <is>
          <t>Validation / failure handling</t>
        </is>
      </c>
      <c r="F42" s="2" t="inlineStr">
        <is>
          <t>P1</t>
        </is>
      </c>
      <c r="G42" s="2" t="inlineStr">
        <is>
          <t>Use approved QA environment, required fixtures and authorized QA account; open the feature location. For access tests begin in stated signed-out state.</t>
        </is>
      </c>
      <c r="H42" s="2" t="inlineStr">
        <is>
          <t>QA-FORECAST</t>
        </is>
      </c>
      <c r="I42" s="2" t="inlineStr">
        <is>
          <t>Use missing forecast and zero-demand cells.</t>
        </is>
      </c>
      <c r="J42" s="2" t="inlineStr">
        <is>
          <t>Unknown vs real zero distinguished; no fabricated demand or invalid intensity.</t>
        </is>
      </c>
      <c r="K42" s="2" t="inlineStr">
        <is>
          <t>Read-only; restore temporary QA filters/settings.</t>
        </is>
      </c>
      <c r="L42" s="2" t="inlineStr">
        <is>
          <t>frontend/src/app/pages/Home.tsx</t>
        </is>
      </c>
      <c r="M42" s="2" t="inlineStr">
        <is>
          <t>Not Run</t>
        </is>
      </c>
      <c r="N42" s="2" t="inlineStr"/>
      <c r="O42" s="2" t="inlineStr"/>
      <c r="P42" s="2" t="inlineStr"/>
      <c r="Q42" s="2" t="inlineStr"/>
      <c r="R42" s="2" t="inlineStr"/>
    </row>
    <row r="43" ht="110" customHeight="1">
      <c r="A43" s="3" t="inlineStr">
        <is>
          <t>TC-042</t>
        </is>
      </c>
      <c r="B43" s="3" t="inlineStr">
        <is>
          <t>F-014</t>
        </is>
      </c>
      <c r="C43" s="3" t="inlineStr">
        <is>
          <t>Home</t>
        </is>
      </c>
      <c r="D43" s="3" t="inlineStr">
        <is>
          <t>Demand heatmap</t>
        </is>
      </c>
      <c r="E43" s="3" t="inlineStr">
        <is>
          <t>Correctness / persistence</t>
        </is>
      </c>
      <c r="F43" s="3" t="inlineStr">
        <is>
          <t>P1</t>
        </is>
      </c>
      <c r="G43" s="3" t="inlineStr">
        <is>
          <t>Use approved QA environment, required fixtures and authorized QA account; open the feature location. For access tests begin in stated signed-out state.</t>
        </is>
      </c>
      <c r="H43" s="3" t="inlineStr">
        <is>
          <t>QA-FORECAST</t>
        </is>
      </c>
      <c r="I43" s="3" t="inlineStr">
        <is>
          <t>Compare sampled cells to saved hourly forecast API for same target date/timezone.</t>
        </is>
      </c>
      <c r="J43" s="3" t="inlineStr">
        <is>
          <t>Heatmap values and intensity follow documented model; not mislabeled observed sales.</t>
        </is>
      </c>
      <c r="K43" s="3" t="inlineStr">
        <is>
          <t>Read-only; restore temporary QA filters/settings.</t>
        </is>
      </c>
      <c r="L43" s="3" t="inlineStr">
        <is>
          <t>frontend/src/app/pages/Home.tsx</t>
        </is>
      </c>
      <c r="M43" s="3" t="inlineStr">
        <is>
          <t>Not Run</t>
        </is>
      </c>
      <c r="N43" s="3" t="inlineStr"/>
      <c r="O43" s="3" t="inlineStr"/>
      <c r="P43" s="3" t="inlineStr"/>
      <c r="Q43" s="3" t="inlineStr"/>
      <c r="R43" s="3" t="inlineStr"/>
    </row>
    <row r="44" ht="110" customHeight="1">
      <c r="A44" s="2" t="inlineStr">
        <is>
          <t>TC-043</t>
        </is>
      </c>
      <c r="B44" s="2" t="inlineStr">
        <is>
          <t>F-015</t>
        </is>
      </c>
      <c r="C44" s="2" t="inlineStr">
        <is>
          <t>Home</t>
        </is>
      </c>
      <c r="D44" s="2" t="inlineStr">
        <is>
          <t>AI recommendation review</t>
        </is>
      </c>
      <c r="E44" s="2" t="inlineStr">
        <is>
          <t>Successful workflow</t>
        </is>
      </c>
      <c r="F44" s="2" t="inlineStr">
        <is>
          <t>P1</t>
        </is>
      </c>
      <c r="G44" s="2" t="inlineStr">
        <is>
          <t>Use approved QA environment, required fixtures and authorized QA account; open the feature location. For access tests begin in stated signed-out state.</t>
        </is>
      </c>
      <c r="H44" s="2" t="inlineStr">
        <is>
          <t>QA-FEEDBACK</t>
        </is>
      </c>
      <c r="I44" s="2" t="inlineStr">
        <is>
          <t>Open genuine QA suggestion; review explanation; approve one and dismiss another.</t>
        </is>
      </c>
      <c r="J44" s="2" t="inlineStr">
        <is>
          <t>Action applies to correct suggestion; pending counts update.</t>
        </is>
      </c>
      <c r="K44" s="2" t="inlineStr">
        <is>
          <t>Disposable recommendations only.</t>
        </is>
      </c>
      <c r="L44" s="2" t="inlineStr">
        <is>
          <t>frontend/src/app/pages/Home.tsx</t>
        </is>
      </c>
      <c r="M44" s="2" t="inlineStr">
        <is>
          <t>Not Run</t>
        </is>
      </c>
      <c r="N44" s="2" t="inlineStr"/>
      <c r="O44" s="2" t="inlineStr"/>
      <c r="P44" s="2" t="inlineStr"/>
      <c r="Q44" s="2" t="inlineStr"/>
      <c r="R44" s="2" t="inlineStr"/>
    </row>
    <row r="45" ht="110" customHeight="1">
      <c r="A45" s="3" t="inlineStr">
        <is>
          <t>TC-044</t>
        </is>
      </c>
      <c r="B45" s="3" t="inlineStr">
        <is>
          <t>F-015</t>
        </is>
      </c>
      <c r="C45" s="3" t="inlineStr">
        <is>
          <t>Home</t>
        </is>
      </c>
      <c r="D45" s="3" t="inlineStr">
        <is>
          <t>AI recommendation review</t>
        </is>
      </c>
      <c r="E45" s="3" t="inlineStr">
        <is>
          <t>Validation / failure handling</t>
        </is>
      </c>
      <c r="F45" s="3" t="inlineStr">
        <is>
          <t>P1</t>
        </is>
      </c>
      <c r="G45" s="3" t="inlineStr">
        <is>
          <t>Use approved QA environment, required fixtures and authorized QA account; open the feature location. For access tests begin in stated signed-out state.</t>
        </is>
      </c>
      <c r="H45" s="3" t="inlineStr">
        <is>
          <t>QA-FEEDBACK</t>
        </is>
      </c>
      <c r="I45" s="3" t="inlineStr">
        <is>
          <t>Repeat action during slow request and test failed persistence/no suggestions.</t>
        </is>
      </c>
      <c r="J45" s="3" t="inlineStr">
        <is>
          <t>No duplicates/false success or fabricated cards; error permits safe retry.</t>
        </is>
      </c>
      <c r="K45" s="3" t="inlineStr">
        <is>
          <t>Disposable recommendations only.</t>
        </is>
      </c>
      <c r="L45" s="3" t="inlineStr">
        <is>
          <t>frontend/src/app/pages/Home.tsx</t>
        </is>
      </c>
      <c r="M45" s="3" t="inlineStr">
        <is>
          <t>Not Run</t>
        </is>
      </c>
      <c r="N45" s="3" t="inlineStr"/>
      <c r="O45" s="3" t="inlineStr"/>
      <c r="P45" s="3" t="inlineStr"/>
      <c r="Q45" s="3" t="inlineStr"/>
      <c r="R45" s="3" t="inlineStr"/>
    </row>
    <row r="46" ht="110" customHeight="1">
      <c r="A46" s="2" t="inlineStr">
        <is>
          <t>TC-045</t>
        </is>
      </c>
      <c r="B46" s="2" t="inlineStr">
        <is>
          <t>F-015</t>
        </is>
      </c>
      <c r="C46" s="2" t="inlineStr">
        <is>
          <t>Home</t>
        </is>
      </c>
      <c r="D46" s="2" t="inlineStr">
        <is>
          <t>AI recommendation review</t>
        </is>
      </c>
      <c r="E46" s="2" t="inlineStr">
        <is>
          <t>Correctness / persistence</t>
        </is>
      </c>
      <c r="F46" s="2" t="inlineStr">
        <is>
          <t>P1</t>
        </is>
      </c>
      <c r="G46" s="2" t="inlineStr">
        <is>
          <t>Use approved QA environment, required fixtures and authorized QA account; open the feature location. For access tests begin in stated signed-out state.</t>
        </is>
      </c>
      <c r="H46" s="2" t="inlineStr">
        <is>
          <t>QA-FEEDBACK</t>
        </is>
      </c>
      <c r="I46" s="2" t="inlineStr">
        <is>
          <t>Reload; find same IDs in Feedback/Audit and validate recommendation context.</t>
        </is>
      </c>
      <c r="J46" s="2" t="inlineStr">
        <is>
          <t>Action and state persist once; factual figures align with source.</t>
        </is>
      </c>
      <c r="K46" s="2" t="inlineStr">
        <is>
          <t>Disposable recommendations only.</t>
        </is>
      </c>
      <c r="L46" s="2" t="inlineStr">
        <is>
          <t>frontend/src/app/pages/Home.tsx</t>
        </is>
      </c>
      <c r="M46" s="2" t="inlineStr">
        <is>
          <t>Not Run</t>
        </is>
      </c>
      <c r="N46" s="2" t="inlineStr"/>
      <c r="O46" s="2" t="inlineStr"/>
      <c r="P46" s="2" t="inlineStr"/>
      <c r="Q46" s="2" t="inlineStr"/>
      <c r="R46" s="2" t="inlineStr"/>
    </row>
    <row r="47" ht="110" customHeight="1">
      <c r="A47" s="3" t="inlineStr">
        <is>
          <t>TC-046</t>
        </is>
      </c>
      <c r="B47" s="3" t="inlineStr">
        <is>
          <t>F-016</t>
        </is>
      </c>
      <c r="C47" s="3" t="inlineStr">
        <is>
          <t>Cafe</t>
        </is>
      </c>
      <c r="D47" s="3" t="inlineStr">
        <is>
          <t>Sector performance and drilldowns</t>
        </is>
      </c>
      <c r="E47" s="3" t="inlineStr">
        <is>
          <t>Successful workflow</t>
        </is>
      </c>
      <c r="F47" s="3" t="inlineStr">
        <is>
          <t>P1</t>
        </is>
      </c>
      <c r="G47" s="3" t="inlineStr">
        <is>
          <t>Use approved QA environment, required fixtures and authorized QA account; open the feature location. For access tests begin in stated signed-out state.</t>
        </is>
      </c>
      <c r="H47" s="3" t="inlineStr">
        <is>
          <t>QA-LEDGER</t>
        </is>
      </c>
      <c r="I47" s="3" t="inlineStr">
        <is>
          <t>Apply known Cafe period; inspect all KPIs and detail modals; select category/service and clear filter.</t>
        </is>
      </c>
      <c r="J47" s="3" t="inlineStr">
        <is>
          <t>Cards, details and table update to same selected source scope; reset restores totals.</t>
        </is>
      </c>
      <c r="K47" s="3" t="inlineStr">
        <is>
          <t>Read-only; restore temporary QA filters/settings.</t>
        </is>
      </c>
      <c r="L47" s="3" t="inlineStr">
        <is>
          <t>frontend/src/app/pages/Cafe.tsx</t>
        </is>
      </c>
      <c r="M47" s="3" t="inlineStr">
        <is>
          <t>Not Run</t>
        </is>
      </c>
      <c r="N47" s="3" t="inlineStr"/>
      <c r="O47" s="3" t="inlineStr"/>
      <c r="P47" s="3" t="inlineStr"/>
      <c r="Q47" s="3" t="inlineStr"/>
      <c r="R47" s="3" t="inlineStr"/>
    </row>
    <row r="48" ht="110" customHeight="1">
      <c r="A48" s="2" t="inlineStr">
        <is>
          <t>TC-047</t>
        </is>
      </c>
      <c r="B48" s="2" t="inlineStr">
        <is>
          <t>F-016</t>
        </is>
      </c>
      <c r="C48" s="2" t="inlineStr">
        <is>
          <t>Cafe</t>
        </is>
      </c>
      <c r="D48" s="2" t="inlineStr">
        <is>
          <t>Sector performance and drilldowns</t>
        </is>
      </c>
      <c r="E48" s="2" t="inlineStr">
        <is>
          <t>Validation / failure handling</t>
        </is>
      </c>
      <c r="F48" s="2" t="inlineStr">
        <is>
          <t>P1</t>
        </is>
      </c>
      <c r="G48" s="2" t="inlineStr">
        <is>
          <t>Use approved QA environment, required fixtures and authorized QA account; open the feature location. For access tests begin in stated signed-out state.</t>
        </is>
      </c>
      <c r="H48" s="2" t="inlineStr">
        <is>
          <t>QA-LEDGER</t>
        </is>
      </c>
      <c r="I48" s="2" t="inlineStr">
        <is>
          <t>Use no-data period and missing baseline; open/close details while loading.</t>
        </is>
      </c>
      <c r="J48" s="2" t="inlineStr">
        <is>
          <t>No fabricated values/undefined percentages; loading/error state stays truthful.</t>
        </is>
      </c>
      <c r="K48" s="2" t="inlineStr">
        <is>
          <t>Read-only; restore temporary QA filters/settings.</t>
        </is>
      </c>
      <c r="L48" s="2" t="inlineStr">
        <is>
          <t>frontend/src/app/pages/Cafe.tsx</t>
        </is>
      </c>
      <c r="M48" s="2" t="inlineStr">
        <is>
          <t>Not Run</t>
        </is>
      </c>
      <c r="N48" s="2" t="inlineStr"/>
      <c r="O48" s="2" t="inlineStr"/>
      <c r="P48" s="2" t="inlineStr"/>
      <c r="Q48" s="2" t="inlineStr"/>
      <c r="R48" s="2" t="inlineStr"/>
    </row>
    <row r="49" ht="110" customHeight="1">
      <c r="A49" s="3" t="inlineStr">
        <is>
          <t>TC-048</t>
        </is>
      </c>
      <c r="B49" s="3" t="inlineStr">
        <is>
          <t>F-016</t>
        </is>
      </c>
      <c r="C49" s="3" t="inlineStr">
        <is>
          <t>Cafe</t>
        </is>
      </c>
      <c r="D49" s="3" t="inlineStr">
        <is>
          <t>Sector performance and drilldowns</t>
        </is>
      </c>
      <c r="E49" s="3" t="inlineStr">
        <is>
          <t>Correctness / persistence</t>
        </is>
      </c>
      <c r="F49" s="3" t="inlineStr">
        <is>
          <t>P1</t>
        </is>
      </c>
      <c r="G49" s="3" t="inlineStr">
        <is>
          <t>Use approved QA environment, required fixtures and authorized QA account; open the feature location. For access tests begin in stated signed-out state.</t>
        </is>
      </c>
      <c r="H49" s="3" t="inlineStr">
        <is>
          <t>QA-LEDGER</t>
        </is>
      </c>
      <c r="I49" s="3" t="inlineStr">
        <is>
          <t>Reconcile Cafe known QA ledger and source rows; distinguish units from orders/bookings.</t>
        </is>
      </c>
      <c r="J49" s="3" t="inlineStr">
        <is>
          <t>Revenue/order/AOV and metric units agree with actual definitions.</t>
        </is>
      </c>
      <c r="K49" s="3" t="inlineStr">
        <is>
          <t>Read-only; restore temporary QA filters/settings.</t>
        </is>
      </c>
      <c r="L49" s="3" t="inlineStr">
        <is>
          <t>frontend/src/app/pages/Cafe.tsx</t>
        </is>
      </c>
      <c r="M49" s="3" t="inlineStr">
        <is>
          <t>Not Run</t>
        </is>
      </c>
      <c r="N49" s="3" t="inlineStr"/>
      <c r="O49" s="3" t="inlineStr"/>
      <c r="P49" s="3" t="inlineStr"/>
      <c r="Q49" s="3" t="inlineStr"/>
      <c r="R49" s="3" t="inlineStr"/>
    </row>
    <row r="50" ht="110" customHeight="1">
      <c r="A50" s="2" t="inlineStr">
        <is>
          <t>TC-049</t>
        </is>
      </c>
      <c r="B50" s="2" t="inlineStr">
        <is>
          <t>F-017</t>
        </is>
      </c>
      <c r="C50" s="2" t="inlineStr">
        <is>
          <t>Cafe</t>
        </is>
      </c>
      <c r="D50" s="2" t="inlineStr">
        <is>
          <t>Forecast visualization and diagnostics</t>
        </is>
      </c>
      <c r="E50" s="2" t="inlineStr">
        <is>
          <t>Successful workflow</t>
        </is>
      </c>
      <c r="F50" s="2" t="inlineStr">
        <is>
          <t>P1</t>
        </is>
      </c>
      <c r="G50" s="2" t="inlineStr">
        <is>
          <t>Use approved QA environment, required fixtures and authorized QA account; open the feature location. For access tests begin in stated signed-out state.</t>
        </is>
      </c>
      <c r="H50" s="2" t="inlineStr">
        <is>
          <t>QA-FORECAST</t>
        </is>
      </c>
      <c r="I50" s="2" t="inlineStr">
        <is>
          <t>Inspect production/holdout/fixed-window modes, timeline presets/granularity and weather overlay; open diagnostics.</t>
        </is>
      </c>
      <c r="J50" s="2" t="inlineStr">
        <is>
          <t>Actual/backtest/future series and available diagnostic metrics correctly identified.</t>
        </is>
      </c>
      <c r="K50" s="2" t="inlineStr">
        <is>
          <t>Read-only; restore temporary QA filters/settings.</t>
        </is>
      </c>
      <c r="L50" s="2" t="inlineStr">
        <is>
          <t>frontend/src/app/pages/Cafe.tsx</t>
        </is>
      </c>
      <c r="M50" s="2" t="inlineStr">
        <is>
          <t>Not Run</t>
        </is>
      </c>
      <c r="N50" s="2" t="inlineStr"/>
      <c r="O50" s="2" t="inlineStr"/>
      <c r="P50" s="2" t="inlineStr"/>
      <c r="Q50" s="2" t="inlineStr"/>
      <c r="R50" s="2" t="inlineStr"/>
    </row>
    <row r="51" ht="110" customHeight="1">
      <c r="A51" s="3" t="inlineStr">
        <is>
          <t>TC-050</t>
        </is>
      </c>
      <c r="B51" s="3" t="inlineStr">
        <is>
          <t>F-017</t>
        </is>
      </c>
      <c r="C51" s="3" t="inlineStr">
        <is>
          <t>Cafe</t>
        </is>
      </c>
      <c r="D51" s="3" t="inlineStr">
        <is>
          <t>Forecast visualization and diagnostics</t>
        </is>
      </c>
      <c r="E51" s="3" t="inlineStr">
        <is>
          <t>Validation / failure handling</t>
        </is>
      </c>
      <c r="F51" s="3" t="inlineStr">
        <is>
          <t>P1</t>
        </is>
      </c>
      <c r="G51" s="3" t="inlineStr">
        <is>
          <t>Use approved QA environment, required fixtures and authorized QA account; open the feature location. For access tests begin in stated signed-out state.</t>
        </is>
      </c>
      <c r="H51" s="3" t="inlineStr">
        <is>
          <t>QA-FORECAST</t>
        </is>
      </c>
      <c r="I51" s="3" t="inlineStr">
        <is>
          <t>Use dates without forecast/weather and failed model request.</t>
        </is>
      </c>
      <c r="J51" s="3" t="inlineStr">
        <is>
          <t>Unavailable state explicit; no invented weather, accuracy or zero substitute for missing actual.</t>
        </is>
      </c>
      <c r="K51" s="3" t="inlineStr">
        <is>
          <t>Read-only; restore temporary QA filters/settings.</t>
        </is>
      </c>
      <c r="L51" s="3" t="inlineStr">
        <is>
          <t>frontend/src/app/pages/Cafe.tsx</t>
        </is>
      </c>
      <c r="M51" s="3" t="inlineStr">
        <is>
          <t>Not Run</t>
        </is>
      </c>
      <c r="N51" s="3" t="inlineStr"/>
      <c r="O51" s="3" t="inlineStr"/>
      <c r="P51" s="3" t="inlineStr"/>
      <c r="Q51" s="3" t="inlineStr"/>
      <c r="R51" s="3" t="inlineStr"/>
    </row>
    <row r="52" ht="110" customHeight="1">
      <c r="A52" s="2" t="inlineStr">
        <is>
          <t>TC-051</t>
        </is>
      </c>
      <c r="B52" s="2" t="inlineStr">
        <is>
          <t>F-017</t>
        </is>
      </c>
      <c r="C52" s="2" t="inlineStr">
        <is>
          <t>Cafe</t>
        </is>
      </c>
      <c r="D52" s="2" t="inlineStr">
        <is>
          <t>Forecast visualization and diagnostics</t>
        </is>
      </c>
      <c r="E52" s="2" t="inlineStr">
        <is>
          <t>Correctness / persistence</t>
        </is>
      </c>
      <c r="F52" s="2" t="inlineStr">
        <is>
          <t>P1</t>
        </is>
      </c>
      <c r="G52" s="2" t="inlineStr">
        <is>
          <t>Use approved QA environment, required fixtures and authorized QA account; open the feature location. For access tests begin in stated signed-out state.</t>
        </is>
      </c>
      <c r="H52" s="2" t="inlineStr">
        <is>
          <t>QA-FORECAST</t>
        </is>
      </c>
      <c r="I52" s="2" t="inlineStr">
        <is>
          <t>Sample chart/tooltips/aggregated values against same model API and train/test/future windows.</t>
        </is>
      </c>
      <c r="J52" s="2" t="inlineStr">
        <is>
          <t>Forecast and source metadata reconcile; changing presentation does not change stored outcomes.</t>
        </is>
      </c>
      <c r="K52" s="2" t="inlineStr">
        <is>
          <t>Read-only; restore temporary QA filters/settings.</t>
        </is>
      </c>
      <c r="L52" s="2" t="inlineStr">
        <is>
          <t>frontend/src/app/pages/Cafe.tsx</t>
        </is>
      </c>
      <c r="M52" s="2" t="inlineStr">
        <is>
          <t>Not Run</t>
        </is>
      </c>
      <c r="N52" s="2" t="inlineStr"/>
      <c r="O52" s="2" t="inlineStr"/>
      <c r="P52" s="2" t="inlineStr"/>
      <c r="Q52" s="2" t="inlineStr"/>
      <c r="R52" s="2" t="inlineStr"/>
    </row>
    <row r="53" ht="110" customHeight="1">
      <c r="A53" s="3" t="inlineStr">
        <is>
          <t>TC-052</t>
        </is>
      </c>
      <c r="B53" s="3" t="inlineStr">
        <is>
          <t>F-018</t>
        </is>
      </c>
      <c r="C53" s="3" t="inlineStr">
        <is>
          <t>Cafe</t>
        </is>
      </c>
      <c r="D53" s="3" t="inlineStr">
        <is>
          <t>Weather and calendar What-If forecast</t>
        </is>
      </c>
      <c r="E53" s="3" t="inlineStr">
        <is>
          <t>Successful workflow</t>
        </is>
      </c>
      <c r="F53" s="3" t="inlineStr">
        <is>
          <t>P1</t>
        </is>
      </c>
      <c r="G53" s="3" t="inlineStr">
        <is>
          <t>Use approved QA environment, required fixtures and authorized QA account; open the feature location. For access tests begin in stated signed-out state.</t>
        </is>
      </c>
      <c r="H53" s="3" t="inlineStr">
        <is>
          <t>QA-FORECAST</t>
        </is>
      </c>
      <c r="I53" s="3" t="inlineStr">
        <is>
          <t>Choose sunny/rainy/custom climate and holiday override; run scenario; compare modeled change; Reset to Live.</t>
        </is>
      </c>
      <c r="J53" s="3" t="inlineStr">
        <is>
          <t>Selected assumptions drive labeled scenario result; reset restores live context.</t>
        </is>
      </c>
      <c r="K53" s="3" t="inlineStr">
        <is>
          <t>Read-only; restore temporary QA filters/settings.</t>
        </is>
      </c>
      <c r="L53" s="3" t="inlineStr">
        <is>
          <t>frontend/src/app/pages/Cafe.tsx</t>
        </is>
      </c>
      <c r="M53" s="3" t="inlineStr">
        <is>
          <t>Not Run</t>
        </is>
      </c>
      <c r="N53" s="3" t="inlineStr"/>
      <c r="O53" s="3" t="inlineStr"/>
      <c r="P53" s="3" t="inlineStr"/>
      <c r="Q53" s="3" t="inlineStr"/>
      <c r="R53" s="3" t="inlineStr"/>
    </row>
    <row r="54" ht="110" customHeight="1">
      <c r="A54" s="2" t="inlineStr">
        <is>
          <t>TC-053</t>
        </is>
      </c>
      <c r="B54" s="2" t="inlineStr">
        <is>
          <t>F-018</t>
        </is>
      </c>
      <c r="C54" s="2" t="inlineStr">
        <is>
          <t>Cafe</t>
        </is>
      </c>
      <c r="D54" s="2" t="inlineStr">
        <is>
          <t>Weather and calendar What-If forecast</t>
        </is>
      </c>
      <c r="E54" s="2" t="inlineStr">
        <is>
          <t>Validation / failure handling</t>
        </is>
      </c>
      <c r="F54" s="2" t="inlineStr">
        <is>
          <t>P1</t>
        </is>
      </c>
      <c r="G54" s="2" t="inlineStr">
        <is>
          <t>Use approved QA environment, required fixtures and authorized QA account; open the feature location. For access tests begin in stated signed-out state.</t>
        </is>
      </c>
      <c r="H54" s="2" t="inlineStr">
        <is>
          <t>QA-FORECAST</t>
        </is>
      </c>
      <c r="I54" s="2" t="inlineStr">
        <is>
          <t>Try allowed temperature/humidity/rain bounds and failed scenario request.</t>
        </is>
      </c>
      <c r="J54" s="2" t="inlineStr">
        <is>
          <t>Bounds enforced; no NaN or stale result mislabeled current; live data preserved.</t>
        </is>
      </c>
      <c r="K54" s="2" t="inlineStr">
        <is>
          <t>Read-only; restore temporary QA filters/settings.</t>
        </is>
      </c>
      <c r="L54" s="2" t="inlineStr">
        <is>
          <t>frontend/src/app/pages/Cafe.tsx</t>
        </is>
      </c>
      <c r="M54" s="2" t="inlineStr">
        <is>
          <t>Not Run</t>
        </is>
      </c>
      <c r="N54" s="2" t="inlineStr"/>
      <c r="O54" s="2" t="inlineStr"/>
      <c r="P54" s="2" t="inlineStr"/>
      <c r="Q54" s="2" t="inlineStr"/>
      <c r="R54" s="2" t="inlineStr"/>
    </row>
    <row r="55" ht="110" customHeight="1">
      <c r="A55" s="3" t="inlineStr">
        <is>
          <t>TC-054</t>
        </is>
      </c>
      <c r="B55" s="3" t="inlineStr">
        <is>
          <t>F-018</t>
        </is>
      </c>
      <c r="C55" s="3" t="inlineStr">
        <is>
          <t>Cafe</t>
        </is>
      </c>
      <c r="D55" s="3" t="inlineStr">
        <is>
          <t>Weather and calendar What-If forecast</t>
        </is>
      </c>
      <c r="E55" s="3" t="inlineStr">
        <is>
          <t>Correctness / persistence</t>
        </is>
      </c>
      <c r="F55" s="3" t="inlineStr">
        <is>
          <t>P1</t>
        </is>
      </c>
      <c r="G55" s="3" t="inlineStr">
        <is>
          <t>Use approved QA environment, required fixtures and authorized QA account; open the feature location. For access tests begin in stated signed-out state.</t>
        </is>
      </c>
      <c r="H55" s="3" t="inlineStr">
        <is>
          <t>QA-FORECAST</t>
        </is>
      </c>
      <c r="I55" s="3" t="inlineStr">
        <is>
          <t>Save scenario request/output; compare same baseline before/after reset.</t>
        </is>
      </c>
      <c r="J55" s="3" t="inlineStr">
        <is>
          <t>Input values match output context; historical sales/weather remain unchanged.</t>
        </is>
      </c>
      <c r="K55" s="3" t="inlineStr">
        <is>
          <t>Read-only; restore temporary QA filters/settings.</t>
        </is>
      </c>
      <c r="L55" s="3" t="inlineStr">
        <is>
          <t>frontend/src/app/pages/Cafe.tsx</t>
        </is>
      </c>
      <c r="M55" s="3" t="inlineStr">
        <is>
          <t>Not Run</t>
        </is>
      </c>
      <c r="N55" s="3" t="inlineStr"/>
      <c r="O55" s="3" t="inlineStr"/>
      <c r="P55" s="3" t="inlineStr"/>
      <c r="Q55" s="3" t="inlineStr"/>
      <c r="R55" s="3" t="inlineStr"/>
    </row>
    <row r="56" ht="110" customHeight="1">
      <c r="A56" s="2" t="inlineStr">
        <is>
          <t>TC-055</t>
        </is>
      </c>
      <c r="B56" s="2" t="inlineStr">
        <is>
          <t>F-019</t>
        </is>
      </c>
      <c r="C56" s="2" t="inlineStr">
        <is>
          <t>Cafe</t>
        </is>
      </c>
      <c r="D56" s="2" t="inlineStr">
        <is>
          <t>Model retraining</t>
        </is>
      </c>
      <c r="E56" s="2" t="inlineStr">
        <is>
          <t>Successful workflow</t>
        </is>
      </c>
      <c r="F56" s="2" t="inlineStr">
        <is>
          <t>P1</t>
        </is>
      </c>
      <c r="G56" s="2" t="inlineStr">
        <is>
          <t>Use approved QA environment, required fixtures and authorized QA account; open the feature location. For access tests begin in stated signed-out state.</t>
        </is>
      </c>
      <c r="H56" s="2" t="inlineStr">
        <is>
          <t>QA-FORECAST</t>
        </is>
      </c>
      <c r="I56" s="2" t="inlineStr">
        <is>
          <t>Record model metadata; trigger retraining in QA; wait and reload diagnostics.</t>
        </is>
      </c>
      <c r="J56" s="2" t="inlineStr">
        <is>
          <t>Busy state then confirmed real outcome; resulting metadata/forecast available as supported.</t>
        </is>
      </c>
      <c r="K56" s="2" t="inlineStr">
        <is>
          <t>QA model/provider environment only; record original version.</t>
        </is>
      </c>
      <c r="L56" s="2" t="inlineStr">
        <is>
          <t>frontend/src/app/pages/Cafe.tsx</t>
        </is>
      </c>
      <c r="M56" s="2" t="inlineStr">
        <is>
          <t>Not Run</t>
        </is>
      </c>
      <c r="N56" s="2" t="inlineStr"/>
      <c r="O56" s="2" t="inlineStr"/>
      <c r="P56" s="2" t="inlineStr"/>
      <c r="Q56" s="2" t="inlineStr"/>
      <c r="R56" s="2" t="inlineStr"/>
    </row>
    <row r="57" ht="110" customHeight="1">
      <c r="A57" s="3" t="inlineStr">
        <is>
          <t>TC-056</t>
        </is>
      </c>
      <c r="B57" s="3" t="inlineStr">
        <is>
          <t>F-019</t>
        </is>
      </c>
      <c r="C57" s="3" t="inlineStr">
        <is>
          <t>Cafe</t>
        </is>
      </c>
      <c r="D57" s="3" t="inlineStr">
        <is>
          <t>Model retraining</t>
        </is>
      </c>
      <c r="E57" s="3" t="inlineStr">
        <is>
          <t>Validation / failure handling</t>
        </is>
      </c>
      <c r="F57" s="3" t="inlineStr">
        <is>
          <t>P1</t>
        </is>
      </c>
      <c r="G57" s="3" t="inlineStr">
        <is>
          <t>Use approved QA environment, required fixtures and authorized QA account; open the feature location. For access tests begin in stated signed-out state.</t>
        </is>
      </c>
      <c r="H57" s="3" t="inlineStr">
        <is>
          <t>QA-FORECAST</t>
        </is>
      </c>
      <c r="I57" s="3" t="inlineStr">
        <is>
          <t>Repeat trigger under slow response; fail model provider/job.</t>
        </is>
      </c>
      <c r="J57" s="3" t="inlineStr">
        <is>
          <t>Duplicate job prevented/controlled; failure reported without false trained timestamp.</t>
        </is>
      </c>
      <c r="K57" s="3" t="inlineStr">
        <is>
          <t>QA model/provider environment only; record original version.</t>
        </is>
      </c>
      <c r="L57" s="3" t="inlineStr">
        <is>
          <t>frontend/src/app/pages/Cafe.tsx</t>
        </is>
      </c>
      <c r="M57" s="3" t="inlineStr">
        <is>
          <t>Not Run</t>
        </is>
      </c>
      <c r="N57" s="3" t="inlineStr"/>
      <c r="O57" s="3" t="inlineStr"/>
      <c r="P57" s="3" t="inlineStr"/>
      <c r="Q57" s="3" t="inlineStr"/>
      <c r="R57" s="3" t="inlineStr"/>
    </row>
    <row r="58" ht="110" customHeight="1">
      <c r="A58" s="2" t="inlineStr">
        <is>
          <t>TC-057</t>
        </is>
      </c>
      <c r="B58" s="2" t="inlineStr">
        <is>
          <t>F-019</t>
        </is>
      </c>
      <c r="C58" s="2" t="inlineStr">
        <is>
          <t>Cafe</t>
        </is>
      </c>
      <c r="D58" s="2" t="inlineStr">
        <is>
          <t>Model retraining</t>
        </is>
      </c>
      <c r="E58" s="2" t="inlineStr">
        <is>
          <t>Correctness / persistence</t>
        </is>
      </c>
      <c r="F58" s="2" t="inlineStr">
        <is>
          <t>P1</t>
        </is>
      </c>
      <c r="G58" s="2" t="inlineStr">
        <is>
          <t>Use approved QA environment, required fixtures and authorized QA account; open the feature location. For access tests begin in stated signed-out state.</t>
        </is>
      </c>
      <c r="H58" s="2" t="inlineStr">
        <is>
          <t>QA-FORECAST</t>
        </is>
      </c>
      <c r="I58" s="2" t="inlineStr">
        <is>
          <t>Compare backend job/model version and training window to displayed status.</t>
        </is>
      </c>
      <c r="J58" s="2" t="inlineStr">
        <is>
          <t>UI represents actual job outcome and source range, never cosmetic retraining.</t>
        </is>
      </c>
      <c r="K58" s="2" t="inlineStr">
        <is>
          <t>QA model/provider environment only; record original version.</t>
        </is>
      </c>
      <c r="L58" s="2" t="inlineStr">
        <is>
          <t>frontend/src/app/pages/Cafe.tsx</t>
        </is>
      </c>
      <c r="M58" s="2" t="inlineStr">
        <is>
          <t>Not Run</t>
        </is>
      </c>
      <c r="N58" s="2" t="inlineStr"/>
      <c r="O58" s="2" t="inlineStr"/>
      <c r="P58" s="2" t="inlineStr"/>
      <c r="Q58" s="2" t="inlineStr"/>
      <c r="R58" s="2" t="inlineStr"/>
    </row>
    <row r="59" ht="110" customHeight="1">
      <c r="A59" s="3" t="inlineStr">
        <is>
          <t>TC-058</t>
        </is>
      </c>
      <c r="B59" s="3" t="inlineStr">
        <is>
          <t>F-020</t>
        </is>
      </c>
      <c r="C59" s="3" t="inlineStr">
        <is>
          <t>Services</t>
        </is>
      </c>
      <c r="D59" s="3" t="inlineStr">
        <is>
          <t>Sector performance and drilldowns</t>
        </is>
      </c>
      <c r="E59" s="3" t="inlineStr">
        <is>
          <t>Successful workflow</t>
        </is>
      </c>
      <c r="F59" s="3" t="inlineStr">
        <is>
          <t>P1</t>
        </is>
      </c>
      <c r="G59" s="3" t="inlineStr">
        <is>
          <t>Use approved QA environment, required fixtures and authorized QA account; open the feature location. For access tests begin in stated signed-out state.</t>
        </is>
      </c>
      <c r="H59" s="3" t="inlineStr">
        <is>
          <t>QA-LEDGER</t>
        </is>
      </c>
      <c r="I59" s="3" t="inlineStr">
        <is>
          <t>Apply known Services period; inspect all KPIs and detail modals; select category/service and clear filter.</t>
        </is>
      </c>
      <c r="J59" s="3" t="inlineStr">
        <is>
          <t>Cards, details and table update to same selected source scope; reset restores totals.</t>
        </is>
      </c>
      <c r="K59" s="3" t="inlineStr">
        <is>
          <t>Read-only; restore temporary QA filters/settings.</t>
        </is>
      </c>
      <c r="L59" s="3" t="inlineStr">
        <is>
          <t>frontend/src/app/pages/Services.tsx</t>
        </is>
      </c>
      <c r="M59" s="3" t="inlineStr">
        <is>
          <t>Not Run</t>
        </is>
      </c>
      <c r="N59" s="3" t="inlineStr"/>
      <c r="O59" s="3" t="inlineStr"/>
      <c r="P59" s="3" t="inlineStr"/>
      <c r="Q59" s="3" t="inlineStr"/>
      <c r="R59" s="3" t="inlineStr"/>
    </row>
    <row r="60" ht="110" customHeight="1">
      <c r="A60" s="2" t="inlineStr">
        <is>
          <t>TC-059</t>
        </is>
      </c>
      <c r="B60" s="2" t="inlineStr">
        <is>
          <t>F-020</t>
        </is>
      </c>
      <c r="C60" s="2" t="inlineStr">
        <is>
          <t>Services</t>
        </is>
      </c>
      <c r="D60" s="2" t="inlineStr">
        <is>
          <t>Sector performance and drilldowns</t>
        </is>
      </c>
      <c r="E60" s="2" t="inlineStr">
        <is>
          <t>Validation / failure handling</t>
        </is>
      </c>
      <c r="F60" s="2" t="inlineStr">
        <is>
          <t>P1</t>
        </is>
      </c>
      <c r="G60" s="2" t="inlineStr">
        <is>
          <t>Use approved QA environment, required fixtures and authorized QA account; open the feature location. For access tests begin in stated signed-out state.</t>
        </is>
      </c>
      <c r="H60" s="2" t="inlineStr">
        <is>
          <t>QA-LEDGER</t>
        </is>
      </c>
      <c r="I60" s="2" t="inlineStr">
        <is>
          <t>Use no-data period and missing baseline; open/close details while loading.</t>
        </is>
      </c>
      <c r="J60" s="2" t="inlineStr">
        <is>
          <t>No fabricated values/undefined percentages; loading/error state stays truthful.</t>
        </is>
      </c>
      <c r="K60" s="2" t="inlineStr">
        <is>
          <t>Read-only; restore temporary QA filters/settings.</t>
        </is>
      </c>
      <c r="L60" s="2" t="inlineStr">
        <is>
          <t>frontend/src/app/pages/Services.tsx</t>
        </is>
      </c>
      <c r="M60" s="2" t="inlineStr">
        <is>
          <t>Not Run</t>
        </is>
      </c>
      <c r="N60" s="2" t="inlineStr"/>
      <c r="O60" s="2" t="inlineStr"/>
      <c r="P60" s="2" t="inlineStr"/>
      <c r="Q60" s="2" t="inlineStr"/>
      <c r="R60" s="2" t="inlineStr"/>
    </row>
    <row r="61" ht="110" customHeight="1">
      <c r="A61" s="3" t="inlineStr">
        <is>
          <t>TC-060</t>
        </is>
      </c>
      <c r="B61" s="3" t="inlineStr">
        <is>
          <t>F-020</t>
        </is>
      </c>
      <c r="C61" s="3" t="inlineStr">
        <is>
          <t>Services</t>
        </is>
      </c>
      <c r="D61" s="3" t="inlineStr">
        <is>
          <t>Sector performance and drilldowns</t>
        </is>
      </c>
      <c r="E61" s="3" t="inlineStr">
        <is>
          <t>Correctness / persistence</t>
        </is>
      </c>
      <c r="F61" s="3" t="inlineStr">
        <is>
          <t>P1</t>
        </is>
      </c>
      <c r="G61" s="3" t="inlineStr">
        <is>
          <t>Use approved QA environment, required fixtures and authorized QA account; open the feature location. For access tests begin in stated signed-out state.</t>
        </is>
      </c>
      <c r="H61" s="3" t="inlineStr">
        <is>
          <t>QA-LEDGER</t>
        </is>
      </c>
      <c r="I61" s="3" t="inlineStr">
        <is>
          <t>Reconcile Services known QA ledger and source rows; distinguish units from orders/bookings.</t>
        </is>
      </c>
      <c r="J61" s="3" t="inlineStr">
        <is>
          <t>Revenue/order/AOV and metric units agree with actual definitions.</t>
        </is>
      </c>
      <c r="K61" s="3" t="inlineStr">
        <is>
          <t>Read-only; restore temporary QA filters/settings.</t>
        </is>
      </c>
      <c r="L61" s="3" t="inlineStr">
        <is>
          <t>frontend/src/app/pages/Services.tsx</t>
        </is>
      </c>
      <c r="M61" s="3" t="inlineStr">
        <is>
          <t>Not Run</t>
        </is>
      </c>
      <c r="N61" s="3" t="inlineStr"/>
      <c r="O61" s="3" t="inlineStr"/>
      <c r="P61" s="3" t="inlineStr"/>
      <c r="Q61" s="3" t="inlineStr"/>
      <c r="R61" s="3" t="inlineStr"/>
    </row>
    <row r="62" ht="110" customHeight="1">
      <c r="A62" s="2" t="inlineStr">
        <is>
          <t>TC-061</t>
        </is>
      </c>
      <c r="B62" s="2" t="inlineStr">
        <is>
          <t>F-021</t>
        </is>
      </c>
      <c r="C62" s="2" t="inlineStr">
        <is>
          <t>Services</t>
        </is>
      </c>
      <c r="D62" s="2" t="inlineStr">
        <is>
          <t>Forecast visualization and diagnostics</t>
        </is>
      </c>
      <c r="E62" s="2" t="inlineStr">
        <is>
          <t>Successful workflow</t>
        </is>
      </c>
      <c r="F62" s="2" t="inlineStr">
        <is>
          <t>P1</t>
        </is>
      </c>
      <c r="G62" s="2" t="inlineStr">
        <is>
          <t>Use approved QA environment, required fixtures and authorized QA account; open the feature location. For access tests begin in stated signed-out state.</t>
        </is>
      </c>
      <c r="H62" s="2" t="inlineStr">
        <is>
          <t>QA-FORECAST</t>
        </is>
      </c>
      <c r="I62" s="2" t="inlineStr">
        <is>
          <t>Inspect production/holdout/fixed-window modes, timeline presets/granularity and weather overlay; open diagnostics.</t>
        </is>
      </c>
      <c r="J62" s="2" t="inlineStr">
        <is>
          <t>Actual/backtest/future series and available diagnostic metrics correctly identified.</t>
        </is>
      </c>
      <c r="K62" s="2" t="inlineStr">
        <is>
          <t>Read-only; restore temporary QA filters/settings.</t>
        </is>
      </c>
      <c r="L62" s="2" t="inlineStr">
        <is>
          <t>frontend/src/app/pages/Services.tsx</t>
        </is>
      </c>
      <c r="M62" s="2" t="inlineStr">
        <is>
          <t>Not Run</t>
        </is>
      </c>
      <c r="N62" s="2" t="inlineStr"/>
      <c r="O62" s="2" t="inlineStr"/>
      <c r="P62" s="2" t="inlineStr"/>
      <c r="Q62" s="2" t="inlineStr"/>
      <c r="R62" s="2" t="inlineStr"/>
    </row>
    <row r="63" ht="110" customHeight="1">
      <c r="A63" s="3" t="inlineStr">
        <is>
          <t>TC-062</t>
        </is>
      </c>
      <c r="B63" s="3" t="inlineStr">
        <is>
          <t>F-021</t>
        </is>
      </c>
      <c r="C63" s="3" t="inlineStr">
        <is>
          <t>Services</t>
        </is>
      </c>
      <c r="D63" s="3" t="inlineStr">
        <is>
          <t>Forecast visualization and diagnostics</t>
        </is>
      </c>
      <c r="E63" s="3" t="inlineStr">
        <is>
          <t>Validation / failure handling</t>
        </is>
      </c>
      <c r="F63" s="3" t="inlineStr">
        <is>
          <t>P1</t>
        </is>
      </c>
      <c r="G63" s="3" t="inlineStr">
        <is>
          <t>Use approved QA environment, required fixtures and authorized QA account; open the feature location. For access tests begin in stated signed-out state.</t>
        </is>
      </c>
      <c r="H63" s="3" t="inlineStr">
        <is>
          <t>QA-FORECAST</t>
        </is>
      </c>
      <c r="I63" s="3" t="inlineStr">
        <is>
          <t>Use dates without forecast/weather and failed model request.</t>
        </is>
      </c>
      <c r="J63" s="3" t="inlineStr">
        <is>
          <t>Unavailable state explicit; no invented weather, accuracy or zero substitute for missing actual.</t>
        </is>
      </c>
      <c r="K63" s="3" t="inlineStr">
        <is>
          <t>Read-only; restore temporary QA filters/settings.</t>
        </is>
      </c>
      <c r="L63" s="3" t="inlineStr">
        <is>
          <t>frontend/src/app/pages/Services.tsx</t>
        </is>
      </c>
      <c r="M63" s="3" t="inlineStr">
        <is>
          <t>Not Run</t>
        </is>
      </c>
      <c r="N63" s="3" t="inlineStr"/>
      <c r="O63" s="3" t="inlineStr"/>
      <c r="P63" s="3" t="inlineStr"/>
      <c r="Q63" s="3" t="inlineStr"/>
      <c r="R63" s="3" t="inlineStr"/>
    </row>
    <row r="64" ht="110" customHeight="1">
      <c r="A64" s="2" t="inlineStr">
        <is>
          <t>TC-063</t>
        </is>
      </c>
      <c r="B64" s="2" t="inlineStr">
        <is>
          <t>F-021</t>
        </is>
      </c>
      <c r="C64" s="2" t="inlineStr">
        <is>
          <t>Services</t>
        </is>
      </c>
      <c r="D64" s="2" t="inlineStr">
        <is>
          <t>Forecast visualization and diagnostics</t>
        </is>
      </c>
      <c r="E64" s="2" t="inlineStr">
        <is>
          <t>Correctness / persistence</t>
        </is>
      </c>
      <c r="F64" s="2" t="inlineStr">
        <is>
          <t>P1</t>
        </is>
      </c>
      <c r="G64" s="2" t="inlineStr">
        <is>
          <t>Use approved QA environment, required fixtures and authorized QA account; open the feature location. For access tests begin in stated signed-out state.</t>
        </is>
      </c>
      <c r="H64" s="2" t="inlineStr">
        <is>
          <t>QA-FORECAST</t>
        </is>
      </c>
      <c r="I64" s="2" t="inlineStr">
        <is>
          <t>Sample chart/tooltips/aggregated values against same model API and train/test/future windows.</t>
        </is>
      </c>
      <c r="J64" s="2" t="inlineStr">
        <is>
          <t>Forecast and source metadata reconcile; changing presentation does not change stored outcomes.</t>
        </is>
      </c>
      <c r="K64" s="2" t="inlineStr">
        <is>
          <t>Read-only; restore temporary QA filters/settings.</t>
        </is>
      </c>
      <c r="L64" s="2" t="inlineStr">
        <is>
          <t>frontend/src/app/pages/Services.tsx</t>
        </is>
      </c>
      <c r="M64" s="2" t="inlineStr">
        <is>
          <t>Not Run</t>
        </is>
      </c>
      <c r="N64" s="2" t="inlineStr"/>
      <c r="O64" s="2" t="inlineStr"/>
      <c r="P64" s="2" t="inlineStr"/>
      <c r="Q64" s="2" t="inlineStr"/>
      <c r="R64" s="2" t="inlineStr"/>
    </row>
    <row r="65" ht="110" customHeight="1">
      <c r="A65" s="3" t="inlineStr">
        <is>
          <t>TC-064</t>
        </is>
      </c>
      <c r="B65" s="3" t="inlineStr">
        <is>
          <t>F-022</t>
        </is>
      </c>
      <c r="C65" s="3" t="inlineStr">
        <is>
          <t>Services</t>
        </is>
      </c>
      <c r="D65" s="3" t="inlineStr">
        <is>
          <t>Weather and calendar What-If forecast</t>
        </is>
      </c>
      <c r="E65" s="3" t="inlineStr">
        <is>
          <t>Successful workflow</t>
        </is>
      </c>
      <c r="F65" s="3" t="inlineStr">
        <is>
          <t>P1</t>
        </is>
      </c>
      <c r="G65" s="3" t="inlineStr">
        <is>
          <t>Use approved QA environment, required fixtures and authorized QA account; open the feature location. For access tests begin in stated signed-out state.</t>
        </is>
      </c>
      <c r="H65" s="3" t="inlineStr">
        <is>
          <t>QA-FORECAST</t>
        </is>
      </c>
      <c r="I65" s="3" t="inlineStr">
        <is>
          <t>Choose sunny/rainy/custom climate and holiday override; run scenario; compare modeled change; Reset to Live.</t>
        </is>
      </c>
      <c r="J65" s="3" t="inlineStr">
        <is>
          <t>Selected assumptions drive labeled scenario result; reset restores live context.</t>
        </is>
      </c>
      <c r="K65" s="3" t="inlineStr">
        <is>
          <t>Read-only; restore temporary QA filters/settings.</t>
        </is>
      </c>
      <c r="L65" s="3" t="inlineStr">
        <is>
          <t>frontend/src/app/pages/Services.tsx</t>
        </is>
      </c>
      <c r="M65" s="3" t="inlineStr">
        <is>
          <t>Not Run</t>
        </is>
      </c>
      <c r="N65" s="3" t="inlineStr"/>
      <c r="O65" s="3" t="inlineStr"/>
      <c r="P65" s="3" t="inlineStr"/>
      <c r="Q65" s="3" t="inlineStr"/>
      <c r="R65" s="3" t="inlineStr"/>
    </row>
    <row r="66" ht="110" customHeight="1">
      <c r="A66" s="2" t="inlineStr">
        <is>
          <t>TC-065</t>
        </is>
      </c>
      <c r="B66" s="2" t="inlineStr">
        <is>
          <t>F-022</t>
        </is>
      </c>
      <c r="C66" s="2" t="inlineStr">
        <is>
          <t>Services</t>
        </is>
      </c>
      <c r="D66" s="2" t="inlineStr">
        <is>
          <t>Weather and calendar What-If forecast</t>
        </is>
      </c>
      <c r="E66" s="2" t="inlineStr">
        <is>
          <t>Validation / failure handling</t>
        </is>
      </c>
      <c r="F66" s="2" t="inlineStr">
        <is>
          <t>P1</t>
        </is>
      </c>
      <c r="G66" s="2" t="inlineStr">
        <is>
          <t>Use approved QA environment, required fixtures and authorized QA account; open the feature location. For access tests begin in stated signed-out state.</t>
        </is>
      </c>
      <c r="H66" s="2" t="inlineStr">
        <is>
          <t>QA-FORECAST</t>
        </is>
      </c>
      <c r="I66" s="2" t="inlineStr">
        <is>
          <t>Try allowed temperature/humidity/rain bounds and failed scenario request.</t>
        </is>
      </c>
      <c r="J66" s="2" t="inlineStr">
        <is>
          <t>Bounds enforced; no NaN or stale result mislabeled current; live data preserved.</t>
        </is>
      </c>
      <c r="K66" s="2" t="inlineStr">
        <is>
          <t>Read-only; restore temporary QA filters/settings.</t>
        </is>
      </c>
      <c r="L66" s="2" t="inlineStr">
        <is>
          <t>frontend/src/app/pages/Services.tsx</t>
        </is>
      </c>
      <c r="M66" s="2" t="inlineStr">
        <is>
          <t>Not Run</t>
        </is>
      </c>
      <c r="N66" s="2" t="inlineStr"/>
      <c r="O66" s="2" t="inlineStr"/>
      <c r="P66" s="2" t="inlineStr"/>
      <c r="Q66" s="2" t="inlineStr"/>
      <c r="R66" s="2" t="inlineStr"/>
    </row>
    <row r="67" ht="110" customHeight="1">
      <c r="A67" s="3" t="inlineStr">
        <is>
          <t>TC-066</t>
        </is>
      </c>
      <c r="B67" s="3" t="inlineStr">
        <is>
          <t>F-022</t>
        </is>
      </c>
      <c r="C67" s="3" t="inlineStr">
        <is>
          <t>Services</t>
        </is>
      </c>
      <c r="D67" s="3" t="inlineStr">
        <is>
          <t>Weather and calendar What-If forecast</t>
        </is>
      </c>
      <c r="E67" s="3" t="inlineStr">
        <is>
          <t>Correctness / persistence</t>
        </is>
      </c>
      <c r="F67" s="3" t="inlineStr">
        <is>
          <t>P1</t>
        </is>
      </c>
      <c r="G67" s="3" t="inlineStr">
        <is>
          <t>Use approved QA environment, required fixtures and authorized QA account; open the feature location. For access tests begin in stated signed-out state.</t>
        </is>
      </c>
      <c r="H67" s="3" t="inlineStr">
        <is>
          <t>QA-FORECAST</t>
        </is>
      </c>
      <c r="I67" s="3" t="inlineStr">
        <is>
          <t>Save scenario request/output; compare same baseline before/after reset.</t>
        </is>
      </c>
      <c r="J67" s="3" t="inlineStr">
        <is>
          <t>Input values match output context; historical sales/weather remain unchanged.</t>
        </is>
      </c>
      <c r="K67" s="3" t="inlineStr">
        <is>
          <t>Read-only; restore temporary QA filters/settings.</t>
        </is>
      </c>
      <c r="L67" s="3" t="inlineStr">
        <is>
          <t>frontend/src/app/pages/Services.tsx</t>
        </is>
      </c>
      <c r="M67" s="3" t="inlineStr">
        <is>
          <t>Not Run</t>
        </is>
      </c>
      <c r="N67" s="3" t="inlineStr"/>
      <c r="O67" s="3" t="inlineStr"/>
      <c r="P67" s="3" t="inlineStr"/>
      <c r="Q67" s="3" t="inlineStr"/>
      <c r="R67" s="3" t="inlineStr"/>
    </row>
    <row r="68" ht="110" customHeight="1">
      <c r="A68" s="2" t="inlineStr">
        <is>
          <t>TC-067</t>
        </is>
      </c>
      <c r="B68" s="2" t="inlineStr">
        <is>
          <t>F-023</t>
        </is>
      </c>
      <c r="C68" s="2" t="inlineStr">
        <is>
          <t>Services</t>
        </is>
      </c>
      <c r="D68" s="2" t="inlineStr">
        <is>
          <t>Model retraining</t>
        </is>
      </c>
      <c r="E68" s="2" t="inlineStr">
        <is>
          <t>Successful workflow</t>
        </is>
      </c>
      <c r="F68" s="2" t="inlineStr">
        <is>
          <t>P1</t>
        </is>
      </c>
      <c r="G68" s="2" t="inlineStr">
        <is>
          <t>Use approved QA environment, required fixtures and authorized QA account; open the feature location. For access tests begin in stated signed-out state.</t>
        </is>
      </c>
      <c r="H68" s="2" t="inlineStr">
        <is>
          <t>QA-FORECAST</t>
        </is>
      </c>
      <c r="I68" s="2" t="inlineStr">
        <is>
          <t>Record model metadata; trigger retraining in QA; wait and reload diagnostics.</t>
        </is>
      </c>
      <c r="J68" s="2" t="inlineStr">
        <is>
          <t>Busy state then confirmed real outcome; resulting metadata/forecast available as supported.</t>
        </is>
      </c>
      <c r="K68" s="2" t="inlineStr">
        <is>
          <t>QA model/provider environment only; record original version.</t>
        </is>
      </c>
      <c r="L68" s="2" t="inlineStr">
        <is>
          <t>frontend/src/app/pages/Services.tsx</t>
        </is>
      </c>
      <c r="M68" s="2" t="inlineStr">
        <is>
          <t>Not Run</t>
        </is>
      </c>
      <c r="N68" s="2" t="inlineStr"/>
      <c r="O68" s="2" t="inlineStr"/>
      <c r="P68" s="2" t="inlineStr"/>
      <c r="Q68" s="2" t="inlineStr"/>
      <c r="R68" s="2" t="inlineStr"/>
    </row>
    <row r="69" ht="110" customHeight="1">
      <c r="A69" s="3" t="inlineStr">
        <is>
          <t>TC-068</t>
        </is>
      </c>
      <c r="B69" s="3" t="inlineStr">
        <is>
          <t>F-023</t>
        </is>
      </c>
      <c r="C69" s="3" t="inlineStr">
        <is>
          <t>Services</t>
        </is>
      </c>
      <c r="D69" s="3" t="inlineStr">
        <is>
          <t>Model retraining</t>
        </is>
      </c>
      <c r="E69" s="3" t="inlineStr">
        <is>
          <t>Validation / failure handling</t>
        </is>
      </c>
      <c r="F69" s="3" t="inlineStr">
        <is>
          <t>P1</t>
        </is>
      </c>
      <c r="G69" s="3" t="inlineStr">
        <is>
          <t>Use approved QA environment, required fixtures and authorized QA account; open the feature location. For access tests begin in stated signed-out state.</t>
        </is>
      </c>
      <c r="H69" s="3" t="inlineStr">
        <is>
          <t>QA-FORECAST</t>
        </is>
      </c>
      <c r="I69" s="3" t="inlineStr">
        <is>
          <t>Repeat trigger under slow response; fail model provider/job.</t>
        </is>
      </c>
      <c r="J69" s="3" t="inlineStr">
        <is>
          <t>Duplicate job prevented/controlled; failure reported without false trained timestamp.</t>
        </is>
      </c>
      <c r="K69" s="3" t="inlineStr">
        <is>
          <t>QA model/provider environment only; record original version.</t>
        </is>
      </c>
      <c r="L69" s="3" t="inlineStr">
        <is>
          <t>frontend/src/app/pages/Services.tsx</t>
        </is>
      </c>
      <c r="M69" s="3" t="inlineStr">
        <is>
          <t>Not Run</t>
        </is>
      </c>
      <c r="N69" s="3" t="inlineStr"/>
      <c r="O69" s="3" t="inlineStr"/>
      <c r="P69" s="3" t="inlineStr"/>
      <c r="Q69" s="3" t="inlineStr"/>
      <c r="R69" s="3" t="inlineStr"/>
    </row>
    <row r="70" ht="110" customHeight="1">
      <c r="A70" s="2" t="inlineStr">
        <is>
          <t>TC-069</t>
        </is>
      </c>
      <c r="B70" s="2" t="inlineStr">
        <is>
          <t>F-023</t>
        </is>
      </c>
      <c r="C70" s="2" t="inlineStr">
        <is>
          <t>Services</t>
        </is>
      </c>
      <c r="D70" s="2" t="inlineStr">
        <is>
          <t>Model retraining</t>
        </is>
      </c>
      <c r="E70" s="2" t="inlineStr">
        <is>
          <t>Correctness / persistence</t>
        </is>
      </c>
      <c r="F70" s="2" t="inlineStr">
        <is>
          <t>P1</t>
        </is>
      </c>
      <c r="G70" s="2" t="inlineStr">
        <is>
          <t>Use approved QA environment, required fixtures and authorized QA account; open the feature location. For access tests begin in stated signed-out state.</t>
        </is>
      </c>
      <c r="H70" s="2" t="inlineStr">
        <is>
          <t>QA-FORECAST</t>
        </is>
      </c>
      <c r="I70" s="2" t="inlineStr">
        <is>
          <t>Compare backend job/model version and training window to displayed status.</t>
        </is>
      </c>
      <c r="J70" s="2" t="inlineStr">
        <is>
          <t>UI represents actual job outcome and source range, never cosmetic retraining.</t>
        </is>
      </c>
      <c r="K70" s="2" t="inlineStr">
        <is>
          <t>QA model/provider environment only; record original version.</t>
        </is>
      </c>
      <c r="L70" s="2" t="inlineStr">
        <is>
          <t>frontend/src/app/pages/Services.tsx</t>
        </is>
      </c>
      <c r="M70" s="2" t="inlineStr">
        <is>
          <t>Not Run</t>
        </is>
      </c>
      <c r="N70" s="2" t="inlineStr"/>
      <c r="O70" s="2" t="inlineStr"/>
      <c r="P70" s="2" t="inlineStr"/>
      <c r="Q70" s="2" t="inlineStr"/>
      <c r="R70" s="2" t="inlineStr"/>
    </row>
    <row r="71" ht="110" customHeight="1">
      <c r="A71" s="3" t="inlineStr">
        <is>
          <t>TC-070</t>
        </is>
      </c>
      <c r="B71" s="3" t="inlineStr">
        <is>
          <t>F-024</t>
        </is>
      </c>
      <c r="C71" s="3" t="inlineStr">
        <is>
          <t>Cafe</t>
        </is>
      </c>
      <c r="D71" s="3" t="inlineStr">
        <is>
          <t>Basket co-attachment and category analysis</t>
        </is>
      </c>
      <c r="E71" s="3" t="inlineStr">
        <is>
          <t>Successful workflow</t>
        </is>
      </c>
      <c r="F71" s="3" t="inlineStr">
        <is>
          <t>P1</t>
        </is>
      </c>
      <c r="G71" s="3" t="inlineStr">
        <is>
          <t>Use approved QA environment, required fixtures and authorized QA account; open the feature location. For access tests begin in stated signed-out state.</t>
        </is>
      </c>
      <c r="H71" s="3" t="inlineStr">
        <is>
          <t>QA-BUNDLES / QA-LEDGER</t>
        </is>
      </c>
      <c r="I71" s="3" t="inlineStr">
        <is>
          <t>Choose known window; select human/pet/dual segment and category via legend/chart; reset selections.</t>
        </is>
      </c>
      <c r="J71" s="3" t="inlineStr">
        <is>
          <t>Correct receipt segment/category filters KPIs and menu results consistently.</t>
        </is>
      </c>
      <c r="K71" s="3" t="inlineStr">
        <is>
          <t>Read-only; restore temporary QA filters/settings.</t>
        </is>
      </c>
      <c r="L71" s="3" t="inlineStr">
        <is>
          <t>frontend/src/app/pages/Cafe.tsx</t>
        </is>
      </c>
      <c r="M71" s="3" t="inlineStr">
        <is>
          <t>Not Run</t>
        </is>
      </c>
      <c r="N71" s="3" t="inlineStr"/>
      <c r="O71" s="3" t="inlineStr"/>
      <c r="P71" s="3" t="inlineStr"/>
      <c r="Q71" s="3" t="inlineStr"/>
      <c r="R71" s="3" t="inlineStr"/>
    </row>
    <row r="72" ht="110" customHeight="1">
      <c r="A72" s="2" t="inlineStr">
        <is>
          <t>TC-071</t>
        </is>
      </c>
      <c r="B72" s="2" t="inlineStr">
        <is>
          <t>F-024</t>
        </is>
      </c>
      <c r="C72" s="2" t="inlineStr">
        <is>
          <t>Cafe</t>
        </is>
      </c>
      <c r="D72" s="2" t="inlineStr">
        <is>
          <t>Basket co-attachment and category analysis</t>
        </is>
      </c>
      <c r="E72" s="2" t="inlineStr">
        <is>
          <t>Validation / failure handling</t>
        </is>
      </c>
      <c r="F72" s="2" t="inlineStr">
        <is>
          <t>P1</t>
        </is>
      </c>
      <c r="G72" s="2" t="inlineStr">
        <is>
          <t>Use approved QA environment, required fixtures and authorized QA account; open the feature location. For access tests begin in stated signed-out state.</t>
        </is>
      </c>
      <c r="H72" s="2" t="inlineStr">
        <is>
          <t>QA-BUNDLES / QA-LEDGER</t>
        </is>
      </c>
      <c r="I72" s="2" t="inlineStr">
        <is>
          <t>Use empty segment/category combination and clear only one of two filters.</t>
        </is>
      </c>
      <c r="J72" s="2" t="inlineStr">
        <is>
          <t>Honest no-match state; clearing one filter preserves the other as designed.</t>
        </is>
      </c>
      <c r="K72" s="2" t="inlineStr">
        <is>
          <t>Read-only; restore temporary QA filters/settings.</t>
        </is>
      </c>
      <c r="L72" s="2" t="inlineStr">
        <is>
          <t>frontend/src/app/pages/Cafe.tsx</t>
        </is>
      </c>
      <c r="M72" s="2" t="inlineStr">
        <is>
          <t>Not Run</t>
        </is>
      </c>
      <c r="N72" s="2" t="inlineStr"/>
      <c r="O72" s="2" t="inlineStr"/>
      <c r="P72" s="2" t="inlineStr"/>
      <c r="Q72" s="2" t="inlineStr"/>
      <c r="R72" s="2" t="inlineStr"/>
    </row>
    <row r="73" ht="110" customHeight="1">
      <c r="A73" s="3" t="inlineStr">
        <is>
          <t>TC-072</t>
        </is>
      </c>
      <c r="B73" s="3" t="inlineStr">
        <is>
          <t>F-024</t>
        </is>
      </c>
      <c r="C73" s="3" t="inlineStr">
        <is>
          <t>Cafe</t>
        </is>
      </c>
      <c r="D73" s="3" t="inlineStr">
        <is>
          <t>Basket co-attachment and category analysis</t>
        </is>
      </c>
      <c r="E73" s="3" t="inlineStr">
        <is>
          <t>Correctness / persistence</t>
        </is>
      </c>
      <c r="F73" s="3" t="inlineStr">
        <is>
          <t>P1</t>
        </is>
      </c>
      <c r="G73" s="3" t="inlineStr">
        <is>
          <t>Use approved QA environment, required fixtures and authorized QA account; open the feature location. For access tests begin in stated signed-out state.</t>
        </is>
      </c>
      <c r="H73" s="3" t="inlineStr">
        <is>
          <t>QA-BUNDLES / QA-LEDGER</t>
        </is>
      </c>
      <c r="I73" s="3" t="inlineStr">
        <is>
          <t>Calculate co-purchase receipt counts and category totals from QA receipts.</t>
        </is>
      </c>
      <c r="J73" s="3" t="inlineStr">
        <is>
          <t>Correct denominators; multi-line receipt not counted as multiple customers.</t>
        </is>
      </c>
      <c r="K73" s="3" t="inlineStr">
        <is>
          <t>Read-only; restore temporary QA filters/settings.</t>
        </is>
      </c>
      <c r="L73" s="3" t="inlineStr">
        <is>
          <t>frontend/src/app/pages/Cafe.tsx</t>
        </is>
      </c>
      <c r="M73" s="3" t="inlineStr">
        <is>
          <t>Not Run</t>
        </is>
      </c>
      <c r="N73" s="3" t="inlineStr"/>
      <c r="O73" s="3" t="inlineStr"/>
      <c r="P73" s="3" t="inlineStr"/>
      <c r="Q73" s="3" t="inlineStr"/>
      <c r="R73" s="3" t="inlineStr"/>
    </row>
    <row r="74" ht="110" customHeight="1">
      <c r="A74" s="2" t="inlineStr">
        <is>
          <t>TC-073</t>
        </is>
      </c>
      <c r="B74" s="2" t="inlineStr">
        <is>
          <t>F-025</t>
        </is>
      </c>
      <c r="C74" s="2" t="inlineStr">
        <is>
          <t>Cafe</t>
        </is>
      </c>
      <c r="D74" s="2" t="inlineStr">
        <is>
          <t>Menu-item performance and bundle handoff</t>
        </is>
      </c>
      <c r="E74" s="2" t="inlineStr">
        <is>
          <t>Successful workflow</t>
        </is>
      </c>
      <c r="F74" s="2" t="inlineStr">
        <is>
          <t>P1</t>
        </is>
      </c>
      <c r="G74" s="2" t="inlineStr">
        <is>
          <t>Use approved QA environment, required fixtures and authorized QA account; open the feature location. For access tests begin in stated signed-out state.</t>
        </is>
      </c>
      <c r="H74" s="2" t="inlineStr">
        <is>
          <t>QA-LEDGER</t>
        </is>
      </c>
      <c r="I74" s="2" t="inlineStr">
        <is>
          <t>Switch Live/Overall; sort and page table; open one item; inspect details; Promote in Bundle Simulator.</t>
        </is>
      </c>
      <c r="J74" s="2" t="inlineStr">
        <is>
          <t>Correct item details and target bundle selection; no automatic deployment.</t>
        </is>
      </c>
      <c r="K74" s="2" t="inlineStr">
        <is>
          <t>Read-only; restore temporary QA filters/settings.</t>
        </is>
      </c>
      <c r="L74" s="2" t="inlineStr">
        <is>
          <t>frontend/src/app/pages/Cafe.tsx</t>
        </is>
      </c>
      <c r="M74" s="2" t="inlineStr">
        <is>
          <t>Not Run</t>
        </is>
      </c>
      <c r="N74" s="2" t="inlineStr"/>
      <c r="O74" s="2" t="inlineStr"/>
      <c r="P74" s="2" t="inlineStr"/>
      <c r="Q74" s="2" t="inlineStr"/>
      <c r="R74" s="2" t="inlineStr"/>
    </row>
    <row r="75" ht="110" customHeight="1">
      <c r="A75" s="3" t="inlineStr">
        <is>
          <t>TC-074</t>
        </is>
      </c>
      <c r="B75" s="3" t="inlineStr">
        <is>
          <t>F-025</t>
        </is>
      </c>
      <c r="C75" s="3" t="inlineStr">
        <is>
          <t>Cafe</t>
        </is>
      </c>
      <c r="D75" s="3" t="inlineStr">
        <is>
          <t>Menu-item performance and bundle handoff</t>
        </is>
      </c>
      <c r="E75" s="3" t="inlineStr">
        <is>
          <t>Validation / failure handling</t>
        </is>
      </c>
      <c r="F75" s="3" t="inlineStr">
        <is>
          <t>P1</t>
        </is>
      </c>
      <c r="G75" s="3" t="inlineStr">
        <is>
          <t>Use approved QA environment, required fixtures and authorized QA account; open the feature location. For access tests begin in stated signed-out state.</t>
        </is>
      </c>
      <c r="H75" s="3" t="inlineStr">
        <is>
          <t>QA-LEDGER</t>
        </is>
      </c>
      <c r="I75" s="3" t="inlineStr">
        <is>
          <t>Use empty list, boundary pages and special/long item name.</t>
        </is>
      </c>
      <c r="J75" s="3" t="inlineStr">
        <is>
          <t>No invalid paging/stale selection; identity and navigation encoding preserved.</t>
        </is>
      </c>
      <c r="K75" s="3" t="inlineStr">
        <is>
          <t>Read-only; restore temporary QA filters/settings.</t>
        </is>
      </c>
      <c r="L75" s="3" t="inlineStr">
        <is>
          <t>frontend/src/app/pages/Cafe.tsx</t>
        </is>
      </c>
      <c r="M75" s="3" t="inlineStr">
        <is>
          <t>Not Run</t>
        </is>
      </c>
      <c r="N75" s="3" t="inlineStr"/>
      <c r="O75" s="3" t="inlineStr"/>
      <c r="P75" s="3" t="inlineStr"/>
      <c r="Q75" s="3" t="inlineStr"/>
      <c r="R75" s="3" t="inlineStr"/>
    </row>
    <row r="76" ht="110" customHeight="1">
      <c r="A76" s="2" t="inlineStr">
        <is>
          <t>TC-075</t>
        </is>
      </c>
      <c r="B76" s="2" t="inlineStr">
        <is>
          <t>F-025</t>
        </is>
      </c>
      <c r="C76" s="2" t="inlineStr">
        <is>
          <t>Cafe</t>
        </is>
      </c>
      <c r="D76" s="2" t="inlineStr">
        <is>
          <t>Menu-item performance and bundle handoff</t>
        </is>
      </c>
      <c r="E76" s="2" t="inlineStr">
        <is>
          <t>Correctness / persistence</t>
        </is>
      </c>
      <c r="F76" s="2" t="inlineStr">
        <is>
          <t>P1</t>
        </is>
      </c>
      <c r="G76" s="2" t="inlineStr">
        <is>
          <t>Use approved QA environment, required fixtures and authorized QA account; open the feature location. For access tests begin in stated signed-out state.</t>
        </is>
      </c>
      <c r="H76" s="2" t="inlineStr">
        <is>
          <t>QA-LEDGER</t>
        </is>
      </c>
      <c r="I76" s="2" t="inlineStr">
        <is>
          <t>Compare item quantities/revenue/trend to source for selected window and active filters.</t>
        </is>
      </c>
      <c r="J76" s="2" t="inlineStr">
        <is>
          <t>All item measures reconcile; sorting/paging never changes item-value associations.</t>
        </is>
      </c>
      <c r="K76" s="2" t="inlineStr">
        <is>
          <t>Read-only; restore temporary QA filters/settings.</t>
        </is>
      </c>
      <c r="L76" s="2" t="inlineStr">
        <is>
          <t>frontend/src/app/pages/Cafe.tsx</t>
        </is>
      </c>
      <c r="M76" s="2" t="inlineStr">
        <is>
          <t>Not Run</t>
        </is>
      </c>
      <c r="N76" s="2" t="inlineStr"/>
      <c r="O76" s="2" t="inlineStr"/>
      <c r="P76" s="2" t="inlineStr"/>
      <c r="Q76" s="2" t="inlineStr"/>
      <c r="R76" s="2" t="inlineStr"/>
    </row>
    <row r="77" ht="110" customHeight="1">
      <c r="A77" s="3" t="inlineStr">
        <is>
          <t>TC-076</t>
        </is>
      </c>
      <c r="B77" s="3" t="inlineStr">
        <is>
          <t>F-026</t>
        </is>
      </c>
      <c r="C77" s="3" t="inlineStr">
        <is>
          <t>Cafe</t>
        </is>
      </c>
      <c r="D77" s="3" t="inlineStr">
        <is>
          <t>Happy Hour recommendation activation</t>
        </is>
      </c>
      <c r="E77" s="3" t="inlineStr">
        <is>
          <t>Successful workflow</t>
        </is>
      </c>
      <c r="F77" s="3" t="inlineStr">
        <is>
          <t>P1</t>
        </is>
      </c>
      <c r="G77" s="3" t="inlineStr">
        <is>
          <t>Use approved QA environment, required fixtures and authorized QA account; open the feature location. For access tests begin in stated signed-out state.</t>
        </is>
      </c>
      <c r="H77" s="3" t="inlineStr">
        <is>
          <t>QA-FEEDBACK</t>
        </is>
      </c>
      <c r="I77" s="3" t="inlineStr">
        <is>
          <t>Select QA recommended items/discounts; activate Happy Hour; submit helpful/unhelpful feedback using separate records.</t>
        </is>
      </c>
      <c r="J77" s="3" t="inlineStr">
        <is>
          <t>Selected recommendation actions persisted with accurate proposed price and feedback.</t>
        </is>
      </c>
      <c r="K77" s="3" t="inlineStr">
        <is>
          <t>Disposable QA promotion recommendations only.</t>
        </is>
      </c>
      <c r="L77" s="3" t="inlineStr">
        <is>
          <t>frontend/src/app/pages/Cafe.tsx</t>
        </is>
      </c>
      <c r="M77" s="3" t="inlineStr">
        <is>
          <t>Not Run</t>
        </is>
      </c>
      <c r="N77" s="3" t="inlineStr"/>
      <c r="O77" s="3" t="inlineStr"/>
      <c r="P77" s="3" t="inlineStr"/>
      <c r="Q77" s="3" t="inlineStr"/>
      <c r="R77" s="3" t="inlineStr"/>
    </row>
    <row r="78" ht="110" customHeight="1">
      <c r="A78" s="2" t="inlineStr">
        <is>
          <t>TC-077</t>
        </is>
      </c>
      <c r="B78" s="2" t="inlineStr">
        <is>
          <t>F-026</t>
        </is>
      </c>
      <c r="C78" s="2" t="inlineStr">
        <is>
          <t>Cafe</t>
        </is>
      </c>
      <c r="D78" s="2" t="inlineStr">
        <is>
          <t>Happy Hour recommendation activation</t>
        </is>
      </c>
      <c r="E78" s="2" t="inlineStr">
        <is>
          <t>Validation / failure handling</t>
        </is>
      </c>
      <c r="F78" s="2" t="inlineStr">
        <is>
          <t>P1</t>
        </is>
      </c>
      <c r="G78" s="2" t="inlineStr">
        <is>
          <t>Use approved QA environment, required fixtures and authorized QA account; open the feature location. For access tests begin in stated signed-out state.</t>
        </is>
      </c>
      <c r="H78" s="2" t="inlineStr">
        <is>
          <t>QA-FEEDBACK</t>
        </is>
      </c>
      <c r="I78" s="2" t="inlineStr">
        <is>
          <t>Test no selected items, already activated state and failed activation request.</t>
        </is>
      </c>
      <c r="J78" s="2" t="inlineStr">
        <is>
          <t>No unintended activation or duplicate action; no false external price-change claim.</t>
        </is>
      </c>
      <c r="K78" s="2" t="inlineStr">
        <is>
          <t>Disposable QA promotion recommendations only.</t>
        </is>
      </c>
      <c r="L78" s="2" t="inlineStr">
        <is>
          <t>frontend/src/app/pages/Cafe.tsx</t>
        </is>
      </c>
      <c r="M78" s="2" t="inlineStr">
        <is>
          <t>Not Run</t>
        </is>
      </c>
      <c r="N78" s="2" t="inlineStr"/>
      <c r="O78" s="2" t="inlineStr"/>
      <c r="P78" s="2" t="inlineStr"/>
      <c r="Q78" s="2" t="inlineStr"/>
      <c r="R78" s="2" t="inlineStr"/>
    </row>
    <row r="79" ht="110" customHeight="1">
      <c r="A79" s="3" t="inlineStr">
        <is>
          <t>TC-078</t>
        </is>
      </c>
      <c r="B79" s="3" t="inlineStr">
        <is>
          <t>F-026</t>
        </is>
      </c>
      <c r="C79" s="3" t="inlineStr">
        <is>
          <t>Cafe</t>
        </is>
      </c>
      <c r="D79" s="3" t="inlineStr">
        <is>
          <t>Happy Hour recommendation activation</t>
        </is>
      </c>
      <c r="E79" s="3" t="inlineStr">
        <is>
          <t>Correctness / persistence</t>
        </is>
      </c>
      <c r="F79" s="3" t="inlineStr">
        <is>
          <t>P1</t>
        </is>
      </c>
      <c r="G79" s="3" t="inlineStr">
        <is>
          <t>Use approved QA environment, required fixtures and authorized QA account; open the feature location. For access tests begin in stated signed-out state.</t>
        </is>
      </c>
      <c r="H79" s="3" t="inlineStr">
        <is>
          <t>QA-FEEDBACK</t>
        </is>
      </c>
      <c r="I79" s="3" t="inlineStr">
        <is>
          <t>Reload and inspect corresponding Feedback/Audit plus calculated discounts.</t>
        </is>
      </c>
      <c r="J79" s="3" t="inlineStr">
        <is>
          <t>Item identities, discounts and action counts persist correctly.</t>
        </is>
      </c>
      <c r="K79" s="3" t="inlineStr">
        <is>
          <t>Disposable QA promotion recommendations only.</t>
        </is>
      </c>
      <c r="L79" s="3" t="inlineStr">
        <is>
          <t>frontend/src/app/pages/Cafe.tsx</t>
        </is>
      </c>
      <c r="M79" s="3" t="inlineStr">
        <is>
          <t>Not Run</t>
        </is>
      </c>
      <c r="N79" s="3" t="inlineStr"/>
      <c r="O79" s="3" t="inlineStr"/>
      <c r="P79" s="3" t="inlineStr"/>
      <c r="Q79" s="3" t="inlineStr"/>
      <c r="R79" s="3" t="inlineStr"/>
    </row>
    <row r="80" ht="110" customHeight="1">
      <c r="A80" s="2" t="inlineStr">
        <is>
          <t>TC-079</t>
        </is>
      </c>
      <c r="B80" s="2" t="inlineStr">
        <is>
          <t>F-027</t>
        </is>
      </c>
      <c r="C80" s="2" t="inlineStr">
        <is>
          <t>Services</t>
        </is>
      </c>
      <c r="D80" s="2" t="inlineStr">
        <is>
          <t>Service demand ranking and subservice detail</t>
        </is>
      </c>
      <c r="E80" s="2" t="inlineStr">
        <is>
          <t>Successful workflow</t>
        </is>
      </c>
      <c r="F80" s="2" t="inlineStr">
        <is>
          <t>P1</t>
        </is>
      </c>
      <c r="G80" s="2" t="inlineStr">
        <is>
          <t>Use approved QA environment, required fixtures and authorized QA account; open the feature location. For access tests begin in stated signed-out state.</t>
        </is>
      </c>
      <c r="H80" s="2" t="inlineStr">
        <is>
          <t>QA-LEDGER</t>
        </is>
      </c>
      <c r="I80" s="2" t="inlineStr">
        <is>
          <t>Apply local date window; sort demand/bookings/ticket/revenue; select service and expand its subdetails.</t>
        </is>
      </c>
      <c r="J80" s="2" t="inlineStr">
        <is>
          <t>Correct ordered values, detail identity and synchronized service filter.</t>
        </is>
      </c>
      <c r="K80" s="2" t="inlineStr">
        <is>
          <t>Read-only; restore temporary QA filters/settings.</t>
        </is>
      </c>
      <c r="L80" s="2" t="inlineStr">
        <is>
          <t>frontend/src/app/pages/Services.tsx</t>
        </is>
      </c>
      <c r="M80" s="2" t="inlineStr">
        <is>
          <t>Not Run</t>
        </is>
      </c>
      <c r="N80" s="2" t="inlineStr"/>
      <c r="O80" s="2" t="inlineStr"/>
      <c r="P80" s="2" t="inlineStr"/>
      <c r="Q80" s="2" t="inlineStr"/>
      <c r="R80" s="2" t="inlineStr"/>
    </row>
    <row r="81" ht="110" customHeight="1">
      <c r="A81" s="3" t="inlineStr">
        <is>
          <t>TC-080</t>
        </is>
      </c>
      <c r="B81" s="3" t="inlineStr">
        <is>
          <t>F-027</t>
        </is>
      </c>
      <c r="C81" s="3" t="inlineStr">
        <is>
          <t>Services</t>
        </is>
      </c>
      <c r="D81" s="3" t="inlineStr">
        <is>
          <t>Service demand ranking and subservice detail</t>
        </is>
      </c>
      <c r="E81" s="3" t="inlineStr">
        <is>
          <t>Validation / failure handling</t>
        </is>
      </c>
      <c r="F81" s="3" t="inlineStr">
        <is>
          <t>P1</t>
        </is>
      </c>
      <c r="G81" s="3" t="inlineStr">
        <is>
          <t>Use approved QA environment, required fixtures and authorized QA account; open the feature location. For access tests begin in stated signed-out state.</t>
        </is>
      </c>
      <c r="H81" s="3" t="inlineStr">
        <is>
          <t>QA-LEDGER</t>
        </is>
      </c>
      <c r="I81" s="3" t="inlineStr">
        <is>
          <t>Try no service data; expand row while selected; clear filter.</t>
        </is>
      </c>
      <c r="J81" s="3" t="inlineStr">
        <is>
          <t>No parent-click conflict or false capacity metric; empty state clear.</t>
        </is>
      </c>
      <c r="K81" s="3" t="inlineStr">
        <is>
          <t>Read-only; restore temporary QA filters/settings.</t>
        </is>
      </c>
      <c r="L81" s="3" t="inlineStr">
        <is>
          <t>frontend/src/app/pages/Services.tsx</t>
        </is>
      </c>
      <c r="M81" s="3" t="inlineStr">
        <is>
          <t>Not Run</t>
        </is>
      </c>
      <c r="N81" s="3" t="inlineStr"/>
      <c r="O81" s="3" t="inlineStr"/>
      <c r="P81" s="3" t="inlineStr"/>
      <c r="Q81" s="3" t="inlineStr"/>
      <c r="R81" s="3" t="inlineStr"/>
    </row>
    <row r="82" ht="110" customHeight="1">
      <c r="A82" s="2" t="inlineStr">
        <is>
          <t>TC-081</t>
        </is>
      </c>
      <c r="B82" s="2" t="inlineStr">
        <is>
          <t>F-027</t>
        </is>
      </c>
      <c r="C82" s="2" t="inlineStr">
        <is>
          <t>Services</t>
        </is>
      </c>
      <c r="D82" s="2" t="inlineStr">
        <is>
          <t>Service demand ranking and subservice detail</t>
        </is>
      </c>
      <c r="E82" s="2" t="inlineStr">
        <is>
          <t>Correctness / persistence</t>
        </is>
      </c>
      <c r="F82" s="2" t="inlineStr">
        <is>
          <t>P1</t>
        </is>
      </c>
      <c r="G82" s="2" t="inlineStr">
        <is>
          <t>Use approved QA environment, required fixtures and authorized QA account; open the feature location. For access tests begin in stated signed-out state.</t>
        </is>
      </c>
      <c r="H82" s="2" t="inlineStr">
        <is>
          <t>QA-LEDGER</t>
        </is>
      </c>
      <c r="I82" s="2" t="inlineStr">
        <is>
          <t>Reconcile demand shares, bookings and average ticket from same source rows.</t>
        </is>
      </c>
      <c r="J82" s="2" t="inlineStr">
        <is>
          <t>Shares/units and totals use documented denominator; not fabricated utilization.</t>
        </is>
      </c>
      <c r="K82" s="2" t="inlineStr">
        <is>
          <t>Read-only; restore temporary QA filters/settings.</t>
        </is>
      </c>
      <c r="L82" s="2" t="inlineStr">
        <is>
          <t>frontend/src/app/pages/Services.tsx</t>
        </is>
      </c>
      <c r="M82" s="2" t="inlineStr">
        <is>
          <t>Not Run</t>
        </is>
      </c>
      <c r="N82" s="2" t="inlineStr"/>
      <c r="O82" s="2" t="inlineStr"/>
      <c r="P82" s="2" t="inlineStr"/>
      <c r="Q82" s="2" t="inlineStr"/>
      <c r="R82" s="2" t="inlineStr"/>
    </row>
    <row r="83" ht="110" customHeight="1">
      <c r="A83" s="3" t="inlineStr">
        <is>
          <t>TC-082</t>
        </is>
      </c>
      <c r="B83" s="3" t="inlineStr">
        <is>
          <t>F-028</t>
        </is>
      </c>
      <c r="C83" s="3" t="inlineStr">
        <is>
          <t>Services</t>
        </is>
      </c>
      <c r="D83" s="3" t="inlineStr">
        <is>
          <t>Service capacity-alert response</t>
        </is>
      </c>
      <c r="E83" s="3" t="inlineStr">
        <is>
          <t>Successful workflow</t>
        </is>
      </c>
      <c r="F83" s="3" t="inlineStr">
        <is>
          <t>P1</t>
        </is>
      </c>
      <c r="G83" s="3" t="inlineStr">
        <is>
          <t>Use approved QA environment, required fixtures and authorized QA account; open the feature location. For access tests begin in stated signed-out state.</t>
        </is>
      </c>
      <c r="H83" s="3" t="inlineStr">
        <is>
          <t>QA-ALERTS</t>
        </is>
      </c>
      <c r="I83" s="3" t="inlineStr">
        <is>
          <t>Open eligible QA alert; Optimize Staff; resolve/snooze when enabled.</t>
        </is>
      </c>
      <c r="J83" s="3" t="inlineStr">
        <is>
          <t>Correct Traffic Optimizer context opens; supported alert state transition persists.</t>
        </is>
      </c>
      <c r="K83" s="3" t="inlineStr">
        <is>
          <t>Disposable QA alerts only.</t>
        </is>
      </c>
      <c r="L83" s="3" t="inlineStr">
        <is>
          <t>frontend/src/app/pages/Services.tsx</t>
        </is>
      </c>
      <c r="M83" s="3" t="inlineStr">
        <is>
          <t>Not Run</t>
        </is>
      </c>
      <c r="N83" s="3" t="inlineStr"/>
      <c r="O83" s="3" t="inlineStr"/>
      <c r="P83" s="3" t="inlineStr"/>
      <c r="Q83" s="3" t="inlineStr"/>
      <c r="R83" s="3" t="inlineStr"/>
    </row>
    <row r="84" ht="110" customHeight="1">
      <c r="A84" s="2" t="inlineStr">
        <is>
          <t>TC-083</t>
        </is>
      </c>
      <c r="B84" s="2" t="inlineStr">
        <is>
          <t>F-028</t>
        </is>
      </c>
      <c r="C84" s="2" t="inlineStr">
        <is>
          <t>Services</t>
        </is>
      </c>
      <c r="D84" s="2" t="inlineStr">
        <is>
          <t>Service capacity-alert response</t>
        </is>
      </c>
      <c r="E84" s="2" t="inlineStr">
        <is>
          <t>Validation / failure handling</t>
        </is>
      </c>
      <c r="F84" s="2" t="inlineStr">
        <is>
          <t>P1</t>
        </is>
      </c>
      <c r="G84" s="2" t="inlineStr">
        <is>
          <t>Use approved QA environment, required fixtures and authorized QA account; open the feature location. For access tests begin in stated signed-out state.</t>
        </is>
      </c>
      <c r="H84" s="2" t="inlineStr">
        <is>
          <t>QA-ALERTS</t>
        </is>
      </c>
      <c r="I84" s="2" t="inlineStr">
        <is>
          <t>Try failed response and repeat same resolved/snoozed action.</t>
        </is>
      </c>
      <c r="J84" s="2" t="inlineStr">
        <is>
          <t>No false success/duplicate; visible unsupported dead action is logged as defect.</t>
        </is>
      </c>
      <c r="K84" s="2" t="inlineStr">
        <is>
          <t>Disposable QA alerts only.</t>
        </is>
      </c>
      <c r="L84" s="2" t="inlineStr">
        <is>
          <t>frontend/src/app/pages/Services.tsx</t>
        </is>
      </c>
      <c r="M84" s="2" t="inlineStr">
        <is>
          <t>Not Run</t>
        </is>
      </c>
      <c r="N84" s="2" t="inlineStr"/>
      <c r="O84" s="2" t="inlineStr"/>
      <c r="P84" s="2" t="inlineStr"/>
      <c r="Q84" s="2" t="inlineStr"/>
      <c r="R84" s="2" t="inlineStr"/>
    </row>
    <row r="85" ht="110" customHeight="1">
      <c r="A85" s="3" t="inlineStr">
        <is>
          <t>TC-084</t>
        </is>
      </c>
      <c r="B85" s="3" t="inlineStr">
        <is>
          <t>F-028</t>
        </is>
      </c>
      <c r="C85" s="3" t="inlineStr">
        <is>
          <t>Services</t>
        </is>
      </c>
      <c r="D85" s="3" t="inlineStr">
        <is>
          <t>Service capacity-alert response</t>
        </is>
      </c>
      <c r="E85" s="3" t="inlineStr">
        <is>
          <t>Correctness / persistence</t>
        </is>
      </c>
      <c r="F85" s="3" t="inlineStr">
        <is>
          <t>P1</t>
        </is>
      </c>
      <c r="G85" s="3" t="inlineStr">
        <is>
          <t>Use approved QA environment, required fixtures and authorized QA account; open the feature location. For access tests begin in stated signed-out state.</t>
        </is>
      </c>
      <c r="H85" s="3" t="inlineStr">
        <is>
          <t>QA-ALERTS</t>
        </is>
      </c>
      <c r="I85" s="3" t="inlineStr">
        <is>
          <t>Reload and find selected alert ID/state in Audit/Feedback.</t>
        </is>
      </c>
      <c r="J85" s="3" t="inlineStr">
        <is>
          <t>Only intended alert affected; action trace accurate.</t>
        </is>
      </c>
      <c r="K85" s="3" t="inlineStr">
        <is>
          <t>Disposable QA alerts only.</t>
        </is>
      </c>
      <c r="L85" s="3" t="inlineStr">
        <is>
          <t>frontend/src/app/pages/Services.tsx</t>
        </is>
      </c>
      <c r="M85" s="3" t="inlineStr">
        <is>
          <t>Not Run</t>
        </is>
      </c>
      <c r="N85" s="3" t="inlineStr"/>
      <c r="O85" s="3" t="inlineStr"/>
      <c r="P85" s="3" t="inlineStr"/>
      <c r="Q85" s="3" t="inlineStr"/>
      <c r="R85" s="3" t="inlineStr"/>
    </row>
    <row r="86" ht="110" customHeight="1">
      <c r="A86" s="2" t="inlineStr">
        <is>
          <t>TC-085</t>
        </is>
      </c>
      <c r="B86" s="2" t="inlineStr">
        <is>
          <t>F-029</t>
        </is>
      </c>
      <c r="C86" s="2" t="inlineStr">
        <is>
          <t>Retail</t>
        </is>
      </c>
      <c r="D86" s="2" t="inlineStr">
        <is>
          <t>Retail sales and channel economics</t>
        </is>
      </c>
      <c r="E86" s="2" t="inlineStr">
        <is>
          <t>Successful workflow</t>
        </is>
      </c>
      <c r="F86" s="2" t="inlineStr">
        <is>
          <t>P0</t>
        </is>
      </c>
      <c r="G86" s="2" t="inlineStr">
        <is>
          <t>Use approved QA environment, required fixtures and authorized QA account; open the feature location. For access tests begin in stated signed-out state.</t>
        </is>
      </c>
      <c r="H86" s="2" t="inlineStr">
        <is>
          <t>QA-LEDGER</t>
        </is>
      </c>
      <c r="I86" s="2" t="inlineStr">
        <is>
          <t>Apply single/range dates and channel filters; view combined/split charts, gross/deductions/net details and fee breakdown.</t>
        </is>
      </c>
      <c r="J86" s="2" t="inlineStr">
        <is>
          <t>Correct period/channel scope and economics; gross/fee/net formula clear.</t>
        </is>
      </c>
      <c r="K86" s="2" t="inlineStr">
        <is>
          <t>Read-only; restore temporary QA filters/settings.</t>
        </is>
      </c>
      <c r="L86" s="2" t="inlineStr">
        <is>
          <t>frontend/src/app/pages/Retail.tsx</t>
        </is>
      </c>
      <c r="M86" s="2" t="inlineStr">
        <is>
          <t>Not Run</t>
        </is>
      </c>
      <c r="N86" s="2" t="inlineStr"/>
      <c r="O86" s="2" t="inlineStr"/>
      <c r="P86" s="2" t="inlineStr"/>
      <c r="Q86" s="2" t="inlineStr"/>
      <c r="R86" s="2" t="inlineStr"/>
    </row>
    <row r="87" ht="110" customHeight="1">
      <c r="A87" s="3" t="inlineStr">
        <is>
          <t>TC-086</t>
        </is>
      </c>
      <c r="B87" s="3" t="inlineStr">
        <is>
          <t>F-029</t>
        </is>
      </c>
      <c r="C87" s="3" t="inlineStr">
        <is>
          <t>Retail</t>
        </is>
      </c>
      <c r="D87" s="3" t="inlineStr">
        <is>
          <t>Retail sales and channel economics</t>
        </is>
      </c>
      <c r="E87" s="3" t="inlineStr">
        <is>
          <t>Validation / failure handling</t>
        </is>
      </c>
      <c r="F87" s="3" t="inlineStr">
        <is>
          <t>P0</t>
        </is>
      </c>
      <c r="G87" s="3" t="inlineStr">
        <is>
          <t>Use approved QA environment, required fixtures and authorized QA account; open the feature location. For access tests begin in stated signed-out state.</t>
        </is>
      </c>
      <c r="H87" s="3" t="inlineStr">
        <is>
          <t>QA-LEDGER</t>
        </is>
      </c>
      <c r="I87" s="3" t="inlineStr">
        <is>
          <t>Use zero-fee/no-sales channel, reversed dates and unavailable fee data.</t>
        </is>
      </c>
      <c r="J87" s="3" t="inlineStr">
        <is>
          <t>Validation/unknown handling honest; no invented fees or full-profit claim from incomplete costs.</t>
        </is>
      </c>
      <c r="K87" s="3" t="inlineStr">
        <is>
          <t>Read-only; restore temporary QA filters/settings.</t>
        </is>
      </c>
      <c r="L87" s="3" t="inlineStr">
        <is>
          <t>frontend/src/app/pages/Retail.tsx</t>
        </is>
      </c>
      <c r="M87" s="3" t="inlineStr">
        <is>
          <t>Not Run</t>
        </is>
      </c>
      <c r="N87" s="3" t="inlineStr"/>
      <c r="O87" s="3" t="inlineStr"/>
      <c r="P87" s="3" t="inlineStr"/>
      <c r="Q87" s="3" t="inlineStr"/>
      <c r="R87" s="3" t="inlineStr"/>
    </row>
    <row r="88" ht="110" customHeight="1">
      <c r="A88" s="2" t="inlineStr">
        <is>
          <t>TC-087</t>
        </is>
      </c>
      <c r="B88" s="2" t="inlineStr">
        <is>
          <t>F-029</t>
        </is>
      </c>
      <c r="C88" s="2" t="inlineStr">
        <is>
          <t>Retail</t>
        </is>
      </c>
      <c r="D88" s="2" t="inlineStr">
        <is>
          <t>Retail sales and channel economics</t>
        </is>
      </c>
      <c r="E88" s="2" t="inlineStr">
        <is>
          <t>Correctness / persistence</t>
        </is>
      </c>
      <c r="F88" s="2" t="inlineStr">
        <is>
          <t>P0</t>
        </is>
      </c>
      <c r="G88" s="2" t="inlineStr">
        <is>
          <t>Use approved QA environment, required fixtures and authorized QA account; open the feature location. For access tests begin in stated signed-out state.</t>
        </is>
      </c>
      <c r="H88" s="2" t="inlineStr">
        <is>
          <t>QA-LEDGER</t>
        </is>
      </c>
      <c r="I88" s="2" t="inlineStr">
        <is>
          <t>Reconcile selected channel rows and fees; compare combined vs split totals.</t>
        </is>
      </c>
      <c r="J88" s="2" t="inlineStr">
        <is>
          <t>No double counting; displayed net uses documented deductions exactly once.</t>
        </is>
      </c>
      <c r="K88" s="2" t="inlineStr">
        <is>
          <t>Read-only; restore temporary QA filters/settings.</t>
        </is>
      </c>
      <c r="L88" s="2" t="inlineStr">
        <is>
          <t>frontend/src/app/pages/Retail.tsx</t>
        </is>
      </c>
      <c r="M88" s="2" t="inlineStr">
        <is>
          <t>Not Run</t>
        </is>
      </c>
      <c r="N88" s="2" t="inlineStr"/>
      <c r="O88" s="2" t="inlineStr"/>
      <c r="P88" s="2" t="inlineStr"/>
      <c r="Q88" s="2" t="inlineStr"/>
      <c r="R88" s="2" t="inlineStr"/>
    </row>
    <row r="89" ht="110" customHeight="1">
      <c r="A89" s="3" t="inlineStr">
        <is>
          <t>TC-088</t>
        </is>
      </c>
      <c r="B89" s="3" t="inlineStr">
        <is>
          <t>F-030</t>
        </is>
      </c>
      <c r="C89" s="3" t="inlineStr">
        <is>
          <t>Inventory Monitor</t>
        </is>
      </c>
      <c r="D89" s="3" t="inlineStr">
        <is>
          <t>Read-only current inventory synchronization</t>
        </is>
      </c>
      <c r="E89" s="3" t="inlineStr">
        <is>
          <t>Successful workflow</t>
        </is>
      </c>
      <c r="F89" s="3" t="inlineStr">
        <is>
          <t>P0</t>
        </is>
      </c>
      <c r="G89" s="3" t="inlineStr">
        <is>
          <t>Use approved QA environment, required fixtures and authorized QA account; open the feature location. For access tests begin in stated signed-out state.</t>
        </is>
      </c>
      <c r="H89" s="3" t="inlineStr">
        <is>
          <t>QA-INVENTORY</t>
        </is>
      </c>
      <c r="I89" s="3" t="inlineStr">
        <is>
          <t>Record source QA product UUID/stock; update via QA PetHub flow; observe WOOF after complete poll/refresh.</t>
        </is>
      </c>
      <c r="J89" s="3" t="inlineStr">
        <is>
          <t>Exact stored available quantity appears with truthful source/status/refresh time; no reservation double subtraction.</t>
        </is>
      </c>
      <c r="K89" s="3" t="inlineStr">
        <is>
          <t>QA PetHub products only; restore stock afterward.</t>
        </is>
      </c>
      <c r="L89" s="3" t="inlineStr">
        <is>
          <t>frontend/src/app/components/RetailInventoryMonitor.tsx</t>
        </is>
      </c>
      <c r="M89" s="3" t="inlineStr">
        <is>
          <t>Not Run</t>
        </is>
      </c>
      <c r="N89" s="3" t="inlineStr"/>
      <c r="O89" s="3" t="inlineStr"/>
      <c r="P89" s="3" t="inlineStr"/>
      <c r="Q89" s="3" t="inlineStr"/>
      <c r="R89" s="3" t="inlineStr"/>
    </row>
    <row r="90" ht="110" customHeight="1">
      <c r="A90" s="2" t="inlineStr">
        <is>
          <t>TC-089</t>
        </is>
      </c>
      <c r="B90" s="2" t="inlineStr">
        <is>
          <t>F-030</t>
        </is>
      </c>
      <c r="C90" s="2" t="inlineStr">
        <is>
          <t>Inventory Monitor</t>
        </is>
      </c>
      <c r="D90" s="2" t="inlineStr">
        <is>
          <t>Read-only current inventory synchronization</t>
        </is>
      </c>
      <c r="E90" s="2" t="inlineStr">
        <is>
          <t>Validation / failure handling</t>
        </is>
      </c>
      <c r="F90" s="2" t="inlineStr">
        <is>
          <t>P0</t>
        </is>
      </c>
      <c r="G90" s="2" t="inlineStr">
        <is>
          <t>Use approved QA environment, required fixtures and authorized QA account; open the feature location. For access tests begin in stated signed-out state.</t>
        </is>
      </c>
      <c r="H90" s="2" t="inlineStr">
        <is>
          <t>QA-INVENTORY</t>
        </is>
      </c>
      <c r="I90" s="2" t="inlineStr">
        <is>
          <t>Fail source request or later pagination page after a good snapshot; simulate 429 Retry-After.</t>
        </is>
      </c>
      <c r="J90" s="2" t="inlineStr">
        <is>
          <t>Last complete snapshot retained; reconnecting/stale/backoff truthful; no partial-data replacement.</t>
        </is>
      </c>
      <c r="K90" s="2" t="inlineStr">
        <is>
          <t>QA PetHub products only; restore stock afterward.</t>
        </is>
      </c>
      <c r="L90" s="2" t="inlineStr">
        <is>
          <t>frontend/src/app/components/RetailInventoryMonitor.tsx</t>
        </is>
      </c>
      <c r="M90" s="2" t="inlineStr">
        <is>
          <t>Not Run</t>
        </is>
      </c>
      <c r="N90" s="2" t="inlineStr"/>
      <c r="O90" s="2" t="inlineStr"/>
      <c r="P90" s="2" t="inlineStr"/>
      <c r="Q90" s="2" t="inlineStr"/>
      <c r="R90" s="2" t="inlineStr"/>
    </row>
    <row r="91" ht="110" customHeight="1">
      <c r="A91" s="3" t="inlineStr">
        <is>
          <t>TC-090</t>
        </is>
      </c>
      <c r="B91" s="3" t="inlineStr">
        <is>
          <t>F-030</t>
        </is>
      </c>
      <c r="C91" s="3" t="inlineStr">
        <is>
          <t>Inventory Monitor</t>
        </is>
      </c>
      <c r="D91" s="3" t="inlineStr">
        <is>
          <t>Read-only current inventory synchronization</t>
        </is>
      </c>
      <c r="E91" s="3" t="inlineStr">
        <is>
          <t>Correctness / persistence</t>
        </is>
      </c>
      <c r="F91" s="3" t="inlineStr">
        <is>
          <t>P0</t>
        </is>
      </c>
      <c r="G91" s="3" t="inlineStr">
        <is>
          <t>Use approved QA environment, required fixtures and authorized QA account; open the feature location. For access tests begin in stated signed-out state.</t>
        </is>
      </c>
      <c r="H91" s="3" t="inlineStr">
        <is>
          <t>QA-INVENTORY</t>
        </is>
      </c>
      <c r="I91" s="3" t="inlineStr">
        <is>
          <t>Compare source vs WOOF values before/after; change historical Retail dates/channel; inspect source for unintended writes.</t>
        </is>
      </c>
      <c r="J91" s="3" t="inlineStr">
        <is>
          <t>Inventory stays current/independent; WOOF reads never mutate stock/orders.</t>
        </is>
      </c>
      <c r="K91" s="3" t="inlineStr">
        <is>
          <t>QA PetHub products only; restore stock afterward.</t>
        </is>
      </c>
      <c r="L91" s="3" t="inlineStr">
        <is>
          <t>frontend/src/app/components/RetailInventoryMonitor.tsx</t>
        </is>
      </c>
      <c r="M91" s="3" t="inlineStr">
        <is>
          <t>Not Run</t>
        </is>
      </c>
      <c r="N91" s="3" t="inlineStr"/>
      <c r="O91" s="3" t="inlineStr"/>
      <c r="P91" s="3" t="inlineStr"/>
      <c r="Q91" s="3" t="inlineStr"/>
      <c r="R91" s="3" t="inlineStr"/>
    </row>
    <row r="92" ht="110" customHeight="1">
      <c r="A92" s="2" t="inlineStr">
        <is>
          <t>TC-091</t>
        </is>
      </c>
      <c r="B92" s="2" t="inlineStr">
        <is>
          <t>F-031</t>
        </is>
      </c>
      <c r="C92" s="2" t="inlineStr">
        <is>
          <t>Inventory Monitor</t>
        </is>
      </c>
      <c r="D92" s="2" t="inlineStr">
        <is>
          <t>Inventory search, status and product detail</t>
        </is>
      </c>
      <c r="E92" s="2" t="inlineStr">
        <is>
          <t>Successful workflow</t>
        </is>
      </c>
      <c r="F92" s="2" t="inlineStr">
        <is>
          <t>P1</t>
        </is>
      </c>
      <c r="G92" s="2" t="inlineStr">
        <is>
          <t>Use approved QA environment, required fixtures and authorized QA account; open the feature location. For access tests begin in stated signed-out state.</t>
        </is>
      </c>
      <c r="H92" s="2" t="inlineStr">
        <is>
          <t>QA-INVENTORY</t>
        </is>
      </c>
      <c r="I92" s="2" t="inlineStr">
        <is>
          <t>Search name/category/UUID; filter active/inactive/zero/unknown; sort and page; expand product/source details.</t>
        </is>
      </c>
      <c r="J92" s="2" t="inlineStr">
        <is>
          <t>Correct matching products and details; stable IDs remain associated with quantities.</t>
        </is>
      </c>
      <c r="K92" s="2" t="inlineStr">
        <is>
          <t>QA products only; restore altered source state.</t>
        </is>
      </c>
      <c r="L92" s="2" t="inlineStr">
        <is>
          <t>frontend/src/app/components/RetailInventoryMonitor.tsx</t>
        </is>
      </c>
      <c r="M92" s="2" t="inlineStr">
        <is>
          <t>Not Run</t>
        </is>
      </c>
      <c r="N92" s="2" t="inlineStr"/>
      <c r="O92" s="2" t="inlineStr"/>
      <c r="P92" s="2" t="inlineStr"/>
      <c r="Q92" s="2" t="inlineStr"/>
      <c r="R92" s="2" t="inlineStr"/>
    </row>
    <row r="93" ht="110" customHeight="1">
      <c r="A93" s="3" t="inlineStr">
        <is>
          <t>TC-092</t>
        </is>
      </c>
      <c r="B93" s="3" t="inlineStr">
        <is>
          <t>F-031</t>
        </is>
      </c>
      <c r="C93" s="3" t="inlineStr">
        <is>
          <t>Inventory Monitor</t>
        </is>
      </c>
      <c r="D93" s="3" t="inlineStr">
        <is>
          <t>Inventory search, status and product detail</t>
        </is>
      </c>
      <c r="E93" s="3" t="inlineStr">
        <is>
          <t>Validation / failure handling</t>
        </is>
      </c>
      <c r="F93" s="3" t="inlineStr">
        <is>
          <t>P1</t>
        </is>
      </c>
      <c r="G93" s="3" t="inlineStr">
        <is>
          <t>Use approved QA environment, required fixtures and authorized QA account; open the feature location. For access tests begin in stated signed-out state.</t>
        </is>
      </c>
      <c r="H93" s="3" t="inlineStr">
        <is>
          <t>QA-INVENTORY</t>
        </is>
      </c>
      <c r="I93" s="3" t="inlineStr">
        <is>
          <t>Test null SKU/quantity/threshold/unit, confirmed zero, inactive stock and no-match query.</t>
        </is>
      </c>
      <c r="J93" s="3" t="inlineStr">
        <is>
          <t>Unknown remains unknown; true zero counted correctly; inactive not false active stockout; no invented batch/expiry.</t>
        </is>
      </c>
      <c r="K93" s="3" t="inlineStr">
        <is>
          <t>QA products only; restore altered source state.</t>
        </is>
      </c>
      <c r="L93" s="3" t="inlineStr">
        <is>
          <t>frontend/src/app/components/RetailInventoryMonitor.tsx</t>
        </is>
      </c>
      <c r="M93" s="3" t="inlineStr">
        <is>
          <t>Not Run</t>
        </is>
      </c>
      <c r="N93" s="3" t="inlineStr"/>
      <c r="O93" s="3" t="inlineStr"/>
      <c r="P93" s="3" t="inlineStr"/>
      <c r="Q93" s="3" t="inlineStr"/>
      <c r="R93" s="3" t="inlineStr"/>
    </row>
    <row r="94" ht="110" customHeight="1">
      <c r="A94" s="2" t="inlineStr">
        <is>
          <t>TC-093</t>
        </is>
      </c>
      <c r="B94" s="2" t="inlineStr">
        <is>
          <t>F-031</t>
        </is>
      </c>
      <c r="C94" s="2" t="inlineStr">
        <is>
          <t>Inventory Monitor</t>
        </is>
      </c>
      <c r="D94" s="2" t="inlineStr">
        <is>
          <t>Inventory search, status and product detail</t>
        </is>
      </c>
      <c r="E94" s="2" t="inlineStr">
        <is>
          <t>Correctness / persistence</t>
        </is>
      </c>
      <c r="F94" s="2" t="inlineStr">
        <is>
          <t>P1</t>
        </is>
      </c>
      <c r="G94" s="2" t="inlineStr">
        <is>
          <t>Use approved QA environment, required fixtures and authorized QA account; open the feature location. For access tests begin in stated signed-out state.</t>
        </is>
      </c>
      <c r="H94" s="2" t="inlineStr">
        <is>
          <t>QA-INVENTORY</t>
        </is>
      </c>
      <c r="I94" s="2" t="inlineStr">
        <is>
          <t>Use &gt;200 source products and a disposable removed/out-of-scope product; complete scan and verify counts/removal.</t>
        </is>
      </c>
      <c r="J94" s="2" t="inlineStr">
        <is>
          <t>Full successful scan reconciles all pages; absent product not mislabeled zero; source window not claimed frozen.</t>
        </is>
      </c>
      <c r="K94" s="2" t="inlineStr">
        <is>
          <t>QA products only; restore altered source state.</t>
        </is>
      </c>
      <c r="L94" s="2" t="inlineStr">
        <is>
          <t>frontend/src/app/components/RetailInventoryMonitor.tsx</t>
        </is>
      </c>
      <c r="M94" s="2" t="inlineStr">
        <is>
          <t>Not Run</t>
        </is>
      </c>
      <c r="N94" s="2" t="inlineStr"/>
      <c r="O94" s="2" t="inlineStr"/>
      <c r="P94" s="2" t="inlineStr"/>
      <c r="Q94" s="2" t="inlineStr"/>
      <c r="R94" s="2" t="inlineStr"/>
    </row>
    <row r="95" ht="110" customHeight="1">
      <c r="A95" s="3" t="inlineStr">
        <is>
          <t>TC-094</t>
        </is>
      </c>
      <c r="B95" s="3" t="inlineStr">
        <is>
          <t>F-032</t>
        </is>
      </c>
      <c r="C95" s="3" t="inlineStr">
        <is>
          <t>Bundle Simulator</t>
        </is>
      </c>
      <c r="D95" s="3" t="inlineStr">
        <is>
          <t>FP-Growth bundle discovery</t>
        </is>
      </c>
      <c r="E95" s="3" t="inlineStr">
        <is>
          <t>Successful workflow</t>
        </is>
      </c>
      <c r="F95" s="3" t="inlineStr">
        <is>
          <t>P1</t>
        </is>
      </c>
      <c r="G95" s="3" t="inlineStr">
        <is>
          <t>Use approved QA environment, required fixtures and authorized QA account; open the feature location. For access tests begin in stated signed-out state.</t>
        </is>
      </c>
      <c r="H95" s="3" t="inlineStr">
        <is>
          <t>QA-BUNDLES</t>
        </is>
      </c>
      <c r="I95" s="3" t="inlineStr">
        <is>
          <t>Use known QA receipts; select period/mining preset/support/confidence; inspect qualifying bundles and explanation.</t>
        </is>
      </c>
      <c r="J95" s="3" t="inlineStr">
        <is>
          <t>Actual receipt-supported pairs returned with correct support/confidence/lift and source period.</t>
        </is>
      </c>
      <c r="K95" s="3" t="inlineStr">
        <is>
          <t>Read-only; restore temporary QA filters/settings.</t>
        </is>
      </c>
      <c r="L95" s="3" t="inlineStr">
        <is>
          <t>frontend/src/app/pages/AISimulation.tsx</t>
        </is>
      </c>
      <c r="M95" s="3" t="inlineStr">
        <is>
          <t>Not Run</t>
        </is>
      </c>
      <c r="N95" s="3" t="inlineStr"/>
      <c r="O95" s="3" t="inlineStr"/>
      <c r="P95" s="3" t="inlineStr"/>
      <c r="Q95" s="3" t="inlineStr"/>
      <c r="R95" s="3" t="inlineStr"/>
    </row>
    <row r="96" ht="110" customHeight="1">
      <c r="A96" s="2" t="inlineStr">
        <is>
          <t>TC-095</t>
        </is>
      </c>
      <c r="B96" s="2" t="inlineStr">
        <is>
          <t>F-032</t>
        </is>
      </c>
      <c r="C96" s="2" t="inlineStr">
        <is>
          <t>Bundle Simulator</t>
        </is>
      </c>
      <c r="D96" s="2" t="inlineStr">
        <is>
          <t>FP-Growth bundle discovery</t>
        </is>
      </c>
      <c r="E96" s="2" t="inlineStr">
        <is>
          <t>Validation / failure handling</t>
        </is>
      </c>
      <c r="F96" s="2" t="inlineStr">
        <is>
          <t>P1</t>
        </is>
      </c>
      <c r="G96" s="2" t="inlineStr">
        <is>
          <t>Use approved QA environment, required fixtures and authorized QA account; open the feature location. For access tests begin in stated signed-out state.</t>
        </is>
      </c>
      <c r="H96" s="2" t="inlineStr">
        <is>
          <t>QA-BUNDLES</t>
        </is>
      </c>
      <c r="I96" s="2" t="inlineStr">
        <is>
          <t>Use strict thresholds and insufficient/no co-purchases.</t>
        </is>
      </c>
      <c r="J96" s="2" t="inlineStr">
        <is>
          <t>Honest empty state; no invented bundle/association.</t>
        </is>
      </c>
      <c r="K96" s="2" t="inlineStr">
        <is>
          <t>Read-only; restore temporary QA filters/settings.</t>
        </is>
      </c>
      <c r="L96" s="2" t="inlineStr">
        <is>
          <t>frontend/src/app/pages/AISimulation.tsx</t>
        </is>
      </c>
      <c r="M96" s="2" t="inlineStr">
        <is>
          <t>Not Run</t>
        </is>
      </c>
      <c r="N96" s="2" t="inlineStr"/>
      <c r="O96" s="2" t="inlineStr"/>
      <c r="P96" s="2" t="inlineStr"/>
      <c r="Q96" s="2" t="inlineStr"/>
      <c r="R96" s="2" t="inlineStr"/>
    </row>
    <row r="97" ht="110" customHeight="1">
      <c r="A97" s="3" t="inlineStr">
        <is>
          <t>TC-096</t>
        </is>
      </c>
      <c r="B97" s="3" t="inlineStr">
        <is>
          <t>F-032</t>
        </is>
      </c>
      <c r="C97" s="3" t="inlineStr">
        <is>
          <t>Bundle Simulator</t>
        </is>
      </c>
      <c r="D97" s="3" t="inlineStr">
        <is>
          <t>FP-Growth bundle discovery</t>
        </is>
      </c>
      <c r="E97" s="3" t="inlineStr">
        <is>
          <t>Correctness / persistence</t>
        </is>
      </c>
      <c r="F97" s="3" t="inlineStr">
        <is>
          <t>P1</t>
        </is>
      </c>
      <c r="G97" s="3" t="inlineStr">
        <is>
          <t>Use approved QA environment, required fixtures and authorized QA account; open the feature location. For access tests begin in stated signed-out state.</t>
        </is>
      </c>
      <c r="H97" s="3" t="inlineStr">
        <is>
          <t>QA-BUNDLES</t>
        </is>
      </c>
      <c r="I97" s="3" t="inlineStr">
        <is>
          <t>Hand-calculate pair support/confidence/lift; verify filters, significance and pagination do not misstate metrics.</t>
        </is>
      </c>
      <c r="J97" s="3" t="inlineStr">
        <is>
          <t>Counts/denominators match receipts; filter results satisfy selected thresholds.</t>
        </is>
      </c>
      <c r="K97" s="3" t="inlineStr">
        <is>
          <t>Read-only; restore temporary QA filters/settings.</t>
        </is>
      </c>
      <c r="L97" s="3" t="inlineStr">
        <is>
          <t>frontend/src/app/pages/AISimulation.tsx</t>
        </is>
      </c>
      <c r="M97" s="3" t="inlineStr">
        <is>
          <t>Not Run</t>
        </is>
      </c>
      <c r="N97" s="3" t="inlineStr"/>
      <c r="O97" s="3" t="inlineStr"/>
      <c r="P97" s="3" t="inlineStr"/>
      <c r="Q97" s="3" t="inlineStr"/>
      <c r="R97" s="3" t="inlineStr"/>
    </row>
    <row r="98" ht="110" customHeight="1">
      <c r="A98" s="2" t="inlineStr">
        <is>
          <t>TC-097</t>
        </is>
      </c>
      <c r="B98" s="2" t="inlineStr">
        <is>
          <t>F-033</t>
        </is>
      </c>
      <c r="C98" s="2" t="inlineStr">
        <is>
          <t>Bundle Simulator</t>
        </is>
      </c>
      <c r="D98" s="2" t="inlineStr">
        <is>
          <t>Seasonal bundle discovery</t>
        </is>
      </c>
      <c r="E98" s="2" t="inlineStr">
        <is>
          <t>Successful workflow</t>
        </is>
      </c>
      <c r="F98" s="2" t="inlineStr">
        <is>
          <t>P1</t>
        </is>
      </c>
      <c r="G98" s="2" t="inlineStr">
        <is>
          <t>Use approved QA environment, required fixtures and authorized QA account; open the feature location. For access tests begin in stated signed-out state.</t>
        </is>
      </c>
      <c r="H98" s="2" t="inlineStr">
        <is>
          <t>QA-BUNDLES</t>
        </is>
      </c>
      <c r="I98" s="2" t="inlineStr">
        <is>
          <t>Load Seasonal Bundles for known data; inspect categories and chosen month/context.</t>
        </is>
      </c>
      <c r="J98" s="2" t="inlineStr">
        <is>
          <t>Seasonal output or accurate unavailable state; assumptions and source labeled.</t>
        </is>
      </c>
      <c r="K98" s="2" t="inlineStr">
        <is>
          <t>Read-only; restore temporary QA filters/settings.</t>
        </is>
      </c>
      <c r="L98" s="2" t="inlineStr">
        <is>
          <t>frontend/src/app/pages/AISimulation.tsx</t>
        </is>
      </c>
      <c r="M98" s="2" t="inlineStr">
        <is>
          <t>Not Run</t>
        </is>
      </c>
      <c r="N98" s="2" t="inlineStr"/>
      <c r="O98" s="2" t="inlineStr"/>
      <c r="P98" s="2" t="inlineStr"/>
      <c r="Q98" s="2" t="inlineStr"/>
      <c r="R98" s="2" t="inlineStr"/>
    </row>
    <row r="99" ht="110" customHeight="1">
      <c r="A99" s="3" t="inlineStr">
        <is>
          <t>TC-098</t>
        </is>
      </c>
      <c r="B99" s="3" t="inlineStr">
        <is>
          <t>F-033</t>
        </is>
      </c>
      <c r="C99" s="3" t="inlineStr">
        <is>
          <t>Bundle Simulator</t>
        </is>
      </c>
      <c r="D99" s="3" t="inlineStr">
        <is>
          <t>Seasonal bundle discovery</t>
        </is>
      </c>
      <c r="E99" s="3" t="inlineStr">
        <is>
          <t>Validation / failure handling</t>
        </is>
      </c>
      <c r="F99" s="3" t="inlineStr">
        <is>
          <t>P1</t>
        </is>
      </c>
      <c r="G99" s="3" t="inlineStr">
        <is>
          <t>Use approved QA environment, required fixtures and authorized QA account; open the feature location. For access tests begin in stated signed-out state.</t>
        </is>
      </c>
      <c r="H99" s="3" t="inlineStr">
        <is>
          <t>QA-BUNDLES</t>
        </is>
      </c>
      <c r="I99" s="3" t="inlineStr">
        <is>
          <t>Use missing seasonal history/provider failure; switch back to standard mode.</t>
        </is>
      </c>
      <c r="J99" s="3" t="inlineStr">
        <is>
          <t>No stale standard result mislabeled seasonal; clear recovery/empty state.</t>
        </is>
      </c>
      <c r="K99" s="3" t="inlineStr">
        <is>
          <t>Read-only; restore temporary QA filters/settings.</t>
        </is>
      </c>
      <c r="L99" s="3" t="inlineStr">
        <is>
          <t>frontend/src/app/pages/AISimulation.tsx</t>
        </is>
      </c>
      <c r="M99" s="3" t="inlineStr">
        <is>
          <t>Not Run</t>
        </is>
      </c>
      <c r="N99" s="3" t="inlineStr"/>
      <c r="O99" s="3" t="inlineStr"/>
      <c r="P99" s="3" t="inlineStr"/>
      <c r="Q99" s="3" t="inlineStr"/>
      <c r="R99" s="3" t="inlineStr"/>
    </row>
    <row r="100" ht="110" customHeight="1">
      <c r="A100" s="2" t="inlineStr">
        <is>
          <t>TC-099</t>
        </is>
      </c>
      <c r="B100" s="2" t="inlineStr">
        <is>
          <t>F-033</t>
        </is>
      </c>
      <c r="C100" s="2" t="inlineStr">
        <is>
          <t>Bundle Simulator</t>
        </is>
      </c>
      <c r="D100" s="2" t="inlineStr">
        <is>
          <t>Seasonal bundle discovery</t>
        </is>
      </c>
      <c r="E100" s="2" t="inlineStr">
        <is>
          <t>Correctness / persistence</t>
        </is>
      </c>
      <c r="F100" s="2" t="inlineStr">
        <is>
          <t>P1</t>
        </is>
      </c>
      <c r="G100" s="2" t="inlineStr">
        <is>
          <t>Use approved QA environment, required fixtures and authorized QA account; open the feature location. For access tests begin in stated signed-out state.</t>
        </is>
      </c>
      <c r="H100" s="2" t="inlineStr">
        <is>
          <t>QA-BUNDLES</t>
        </is>
      </c>
      <c r="I100" s="2" t="inlineStr">
        <is>
          <t>Compare source/output period and selected categories to displayed cards.</t>
        </is>
      </c>
      <c r="J100" s="2" t="inlineStr">
        <is>
          <t>Correct seasonal scope; projections not claimed measured causal outcomes.</t>
        </is>
      </c>
      <c r="K100" s="2" t="inlineStr">
        <is>
          <t>Read-only; restore temporary QA filters/settings.</t>
        </is>
      </c>
      <c r="L100" s="2" t="inlineStr">
        <is>
          <t>frontend/src/app/pages/AISimulation.tsx</t>
        </is>
      </c>
      <c r="M100" s="2" t="inlineStr">
        <is>
          <t>Not Run</t>
        </is>
      </c>
      <c r="N100" s="2" t="inlineStr"/>
      <c r="O100" s="2" t="inlineStr"/>
      <c r="P100" s="2" t="inlineStr"/>
      <c r="Q100" s="2" t="inlineStr"/>
      <c r="R100" s="2" t="inlineStr"/>
    </row>
    <row r="101" ht="110" customHeight="1">
      <c r="A101" s="3" t="inlineStr">
        <is>
          <t>TC-100</t>
        </is>
      </c>
      <c r="B101" s="3" t="inlineStr">
        <is>
          <t>F-034</t>
        </is>
      </c>
      <c r="C101" s="3" t="inlineStr">
        <is>
          <t>Bundle Simulator</t>
        </is>
      </c>
      <c r="D101" s="3" t="inlineStr">
        <is>
          <t>Bundle pricing and deployment</t>
        </is>
      </c>
      <c r="E101" s="3" t="inlineStr">
        <is>
          <t>Successful workflow</t>
        </is>
      </c>
      <c r="F101" s="3" t="inlineStr">
        <is>
          <t>P1</t>
        </is>
      </c>
      <c r="G101" s="3" t="inlineStr">
        <is>
          <t>Use approved QA environment, required fixtures and authorized QA account; open the feature location. For access tests begin in stated signed-out state.</t>
        </is>
      </c>
      <c r="H101" s="3" t="inlineStr">
        <is>
          <t>QA-BUNDLES</t>
        </is>
      </c>
      <c r="I101" s="3" t="inlineStr">
        <is>
          <t>Choose QA bundle; adjust discount; inspect proposed price and rationale; Deploy.</t>
        </is>
      </c>
      <c r="J101" s="3" t="inlineStr">
        <is>
          <t>Correct items/price/context saved and confirmed.</t>
        </is>
      </c>
      <c r="K101" s="3" t="inlineStr">
        <is>
          <t>Disposable QA bundle recommendations only.</t>
        </is>
      </c>
      <c r="L101" s="3" t="inlineStr">
        <is>
          <t>frontend/src/app/pages/AISimulation.tsx</t>
        </is>
      </c>
      <c r="M101" s="3" t="inlineStr">
        <is>
          <t>Not Run</t>
        </is>
      </c>
      <c r="N101" s="3" t="inlineStr"/>
      <c r="O101" s="3" t="inlineStr"/>
      <c r="P101" s="3" t="inlineStr"/>
      <c r="Q101" s="3" t="inlineStr"/>
      <c r="R101" s="3" t="inlineStr"/>
    </row>
    <row r="102" ht="110" customHeight="1">
      <c r="A102" s="2" t="inlineStr">
        <is>
          <t>TC-101</t>
        </is>
      </c>
      <c r="B102" s="2" t="inlineStr">
        <is>
          <t>F-034</t>
        </is>
      </c>
      <c r="C102" s="2" t="inlineStr">
        <is>
          <t>Bundle Simulator</t>
        </is>
      </c>
      <c r="D102" s="2" t="inlineStr">
        <is>
          <t>Bundle pricing and deployment</t>
        </is>
      </c>
      <c r="E102" s="2" t="inlineStr">
        <is>
          <t>Validation / failure handling</t>
        </is>
      </c>
      <c r="F102" s="2" t="inlineStr">
        <is>
          <t>P1</t>
        </is>
      </c>
      <c r="G102" s="2" t="inlineStr">
        <is>
          <t>Use approved QA environment, required fixtures and authorized QA account; open the feature location. For access tests begin in stated signed-out state.</t>
        </is>
      </c>
      <c r="H102" s="2" t="inlineStr">
        <is>
          <t>QA-BUNDLES</t>
        </is>
      </c>
      <c r="I102" s="2" t="inlineStr">
        <is>
          <t>Try discount bounds, duplicate rapid deploy and failed persistence.</t>
        </is>
      </c>
      <c r="J102" s="2" t="inlineStr">
        <is>
          <t>No invalid price, duplicate record or false deployment success.</t>
        </is>
      </c>
      <c r="K102" s="2" t="inlineStr">
        <is>
          <t>Disposable QA bundle recommendations only.</t>
        </is>
      </c>
      <c r="L102" s="2" t="inlineStr">
        <is>
          <t>frontend/src/app/pages/AISimulation.tsx</t>
        </is>
      </c>
      <c r="M102" s="2" t="inlineStr">
        <is>
          <t>Not Run</t>
        </is>
      </c>
      <c r="N102" s="2" t="inlineStr"/>
      <c r="O102" s="2" t="inlineStr"/>
      <c r="P102" s="2" t="inlineStr"/>
      <c r="Q102" s="2" t="inlineStr"/>
      <c r="R102" s="2" t="inlineStr"/>
    </row>
    <row r="103" ht="110" customHeight="1">
      <c r="A103" s="3" t="inlineStr">
        <is>
          <t>TC-102</t>
        </is>
      </c>
      <c r="B103" s="3" t="inlineStr">
        <is>
          <t>F-034</t>
        </is>
      </c>
      <c r="C103" s="3" t="inlineStr">
        <is>
          <t>Bundle Simulator</t>
        </is>
      </c>
      <c r="D103" s="3" t="inlineStr">
        <is>
          <t>Bundle pricing and deployment</t>
        </is>
      </c>
      <c r="E103" s="3" t="inlineStr">
        <is>
          <t>Correctness / persistence</t>
        </is>
      </c>
      <c r="F103" s="3" t="inlineStr">
        <is>
          <t>P1</t>
        </is>
      </c>
      <c r="G103" s="3" t="inlineStr">
        <is>
          <t>Use approved QA environment, required fixtures and authorized QA account; open the feature location. For access tests begin in stated signed-out state.</t>
        </is>
      </c>
      <c r="H103" s="3" t="inlineStr">
        <is>
          <t>QA-BUNDLES</t>
        </is>
      </c>
      <c r="I103" s="3" t="inlineStr">
        <is>
          <t>Reload saved record and inspect Feedback/Audit; compare item price arithmetic.</t>
        </is>
      </c>
      <c r="J103" s="3" t="inlineStr">
        <is>
          <t>Correct item identities, price, discount and action persist; no unsupported external price mutation.</t>
        </is>
      </c>
      <c r="K103" s="3" t="inlineStr">
        <is>
          <t>Disposable QA bundle recommendations only.</t>
        </is>
      </c>
      <c r="L103" s="3" t="inlineStr">
        <is>
          <t>frontend/src/app/pages/AISimulation.tsx</t>
        </is>
      </c>
      <c r="M103" s="3" t="inlineStr">
        <is>
          <t>Not Run</t>
        </is>
      </c>
      <c r="N103" s="3" t="inlineStr"/>
      <c r="O103" s="3" t="inlineStr"/>
      <c r="P103" s="3" t="inlineStr"/>
      <c r="Q103" s="3" t="inlineStr"/>
      <c r="R103" s="3" t="inlineStr"/>
    </row>
    <row r="104" ht="110" customHeight="1">
      <c r="A104" s="2" t="inlineStr">
        <is>
          <t>TC-103</t>
        </is>
      </c>
      <c r="B104" s="2" t="inlineStr">
        <is>
          <t>F-035</t>
        </is>
      </c>
      <c r="C104" s="2" t="inlineStr">
        <is>
          <t>Bundle Simulator</t>
        </is>
      </c>
      <c r="D104" s="2" t="inlineStr">
        <is>
          <t>Manual bundle lifecycle</t>
        </is>
      </c>
      <c r="E104" s="2" t="inlineStr">
        <is>
          <t>Successful workflow</t>
        </is>
      </c>
      <c r="F104" s="2" t="inlineStr">
        <is>
          <t>P1</t>
        </is>
      </c>
      <c r="G104" s="2" t="inlineStr">
        <is>
          <t>Use approved QA environment, required fixtures and authorized QA account; open the feature location. For access tests begin in stated signed-out state.</t>
        </is>
      </c>
      <c r="H104" s="2" t="inlineStr">
        <is>
          <t>QA-BUNDLES</t>
        </is>
      </c>
      <c r="I104" s="2" t="inlineStr">
        <is>
          <t>Create uniquely named QA bundle with distinct items, valid combined price/month/dates/mechanic/notes; search archive; archive and restore.</t>
        </is>
      </c>
      <c r="J104" s="2" t="inlineStr">
        <is>
          <t>Complete valid bundle saved; source/status filters and lifecycle transitions work.</t>
        </is>
      </c>
      <c r="K104" s="2" t="inlineStr">
        <is>
          <t>Create/delete QA-prefixed bundles only.</t>
        </is>
      </c>
      <c r="L104" s="2" t="inlineStr">
        <is>
          <t>frontend/src/app/pages/AISimulation.tsx</t>
        </is>
      </c>
      <c r="M104" s="2" t="inlineStr">
        <is>
          <t>Not Run</t>
        </is>
      </c>
      <c r="N104" s="2" t="inlineStr"/>
      <c r="O104" s="2" t="inlineStr"/>
      <c r="P104" s="2" t="inlineStr"/>
      <c r="Q104" s="2" t="inlineStr"/>
      <c r="R104" s="2" t="inlineStr"/>
    </row>
    <row r="105" ht="110" customHeight="1">
      <c r="A105" s="3" t="inlineStr">
        <is>
          <t>TC-104</t>
        </is>
      </c>
      <c r="B105" s="3" t="inlineStr">
        <is>
          <t>F-035</t>
        </is>
      </c>
      <c r="C105" s="3" t="inlineStr">
        <is>
          <t>Bundle Simulator</t>
        </is>
      </c>
      <c r="D105" s="3" t="inlineStr">
        <is>
          <t>Manual bundle lifecycle</t>
        </is>
      </c>
      <c r="E105" s="3" t="inlineStr">
        <is>
          <t>Validation / failure handling</t>
        </is>
      </c>
      <c r="F105" s="3" t="inlineStr">
        <is>
          <t>P1</t>
        </is>
      </c>
      <c r="G105" s="3" t="inlineStr">
        <is>
          <t>Use approved QA environment, required fixtures and authorized QA account; open the feature location. For access tests begin in stated signed-out state.</t>
        </is>
      </c>
      <c r="H105" s="3" t="inlineStr">
        <is>
          <t>QA-BUNDLES</t>
        </is>
      </c>
      <c r="I105" s="3" t="inlineStr">
        <is>
          <t>Try missing name/items, duplicate pair, invalid price and reversed dates; cancel/delete QA record as appropriate.</t>
        </is>
      </c>
      <c r="J105" s="3" t="inlineStr">
        <is>
          <t>Invalid records rejected; deletion affects only selected disposable record.</t>
        </is>
      </c>
      <c r="K105" s="3" t="inlineStr">
        <is>
          <t>Create/delete QA-prefixed bundles only.</t>
        </is>
      </c>
      <c r="L105" s="3" t="inlineStr">
        <is>
          <t>frontend/src/app/pages/AISimulation.tsx</t>
        </is>
      </c>
      <c r="M105" s="3" t="inlineStr">
        <is>
          <t>Not Run</t>
        </is>
      </c>
      <c r="N105" s="3" t="inlineStr"/>
      <c r="O105" s="3" t="inlineStr"/>
      <c r="P105" s="3" t="inlineStr"/>
      <c r="Q105" s="3" t="inlineStr"/>
      <c r="R105" s="3" t="inlineStr"/>
    </row>
    <row r="106" ht="110" customHeight="1">
      <c r="A106" s="2" t="inlineStr">
        <is>
          <t>TC-105</t>
        </is>
      </c>
      <c r="B106" s="2" t="inlineStr">
        <is>
          <t>F-035</t>
        </is>
      </c>
      <c r="C106" s="2" t="inlineStr">
        <is>
          <t>Bundle Simulator</t>
        </is>
      </c>
      <c r="D106" s="2" t="inlineStr">
        <is>
          <t>Manual bundle lifecycle</t>
        </is>
      </c>
      <c r="E106" s="2" t="inlineStr">
        <is>
          <t>Correctness / persistence</t>
        </is>
      </c>
      <c r="F106" s="2" t="inlineStr">
        <is>
          <t>P1</t>
        </is>
      </c>
      <c r="G106" s="2" t="inlineStr">
        <is>
          <t>Use approved QA environment, required fixtures and authorized QA account; open the feature location. For access tests begin in stated signed-out state.</t>
        </is>
      </c>
      <c r="H106" s="2" t="inlineStr">
        <is>
          <t>QA-BUNDLES</t>
        </is>
      </c>
      <c r="I106" s="2" t="inlineStr">
        <is>
          <t>Reload and compare saved contents/status/dates before final QA cleanup.</t>
        </is>
      </c>
      <c r="J106" s="2" t="inlineStr">
        <is>
          <t>All fields and lifecycle state persist without corrupting other bundles.</t>
        </is>
      </c>
      <c r="K106" s="2" t="inlineStr">
        <is>
          <t>Create/delete QA-prefixed bundles only.</t>
        </is>
      </c>
      <c r="L106" s="2" t="inlineStr">
        <is>
          <t>frontend/src/app/pages/AISimulation.tsx</t>
        </is>
      </c>
      <c r="M106" s="2" t="inlineStr">
        <is>
          <t>Not Run</t>
        </is>
      </c>
      <c r="N106" s="2" t="inlineStr"/>
      <c r="O106" s="2" t="inlineStr"/>
      <c r="P106" s="2" t="inlineStr"/>
      <c r="Q106" s="2" t="inlineStr"/>
      <c r="R106" s="2" t="inlineStr"/>
    </row>
    <row r="107" ht="110" customHeight="1">
      <c r="A107" s="3" t="inlineStr">
        <is>
          <t>TC-106</t>
        </is>
      </c>
      <c r="B107" s="3" t="inlineStr">
        <is>
          <t>F-036</t>
        </is>
      </c>
      <c r="C107" s="3" t="inlineStr">
        <is>
          <t>Pricing Laboratory</t>
        </is>
      </c>
      <c r="D107" s="3" t="inlineStr">
        <is>
          <t>Item price-demand simulation</t>
        </is>
      </c>
      <c r="E107" s="3" t="inlineStr">
        <is>
          <t>Successful workflow</t>
        </is>
      </c>
      <c r="F107" s="3" t="inlineStr">
        <is>
          <t>P1</t>
        </is>
      </c>
      <c r="G107" s="3" t="inlineStr">
        <is>
          <t>Use approved QA environment, required fixtures and authorized QA account; open the feature location. For access tests begin in stated signed-out state.</t>
        </is>
      </c>
      <c r="H107" s="3" t="inlineStr">
        <is>
          <t>QA-BUNDLES / QA-LEDGER</t>
        </is>
      </c>
      <c r="I107" s="3" t="inlineStr">
        <is>
          <t>Search/select known item, category and catalog scope; set discount; run simulation.</t>
        </is>
      </c>
      <c r="J107" s="3" t="inlineStr">
        <is>
          <t>Scenario uses correct item/base price/discount and clearly modeled outcomes.</t>
        </is>
      </c>
      <c r="K107" s="3" t="inlineStr">
        <is>
          <t>Read-only; restore temporary QA filters/settings.</t>
        </is>
      </c>
      <c r="L107" s="3" t="inlineStr">
        <is>
          <t>frontend/src/app/pages/AISimulation.tsx</t>
        </is>
      </c>
      <c r="M107" s="3" t="inlineStr">
        <is>
          <t>Not Run</t>
        </is>
      </c>
      <c r="N107" s="3" t="inlineStr"/>
      <c r="O107" s="3" t="inlineStr"/>
      <c r="P107" s="3" t="inlineStr"/>
      <c r="Q107" s="3" t="inlineStr"/>
      <c r="R107" s="3" t="inlineStr"/>
    </row>
    <row r="108" ht="110" customHeight="1">
      <c r="A108" s="2" t="inlineStr">
        <is>
          <t>TC-107</t>
        </is>
      </c>
      <c r="B108" s="2" t="inlineStr">
        <is>
          <t>F-036</t>
        </is>
      </c>
      <c r="C108" s="2" t="inlineStr">
        <is>
          <t>Pricing Laboratory</t>
        </is>
      </c>
      <c r="D108" s="2" t="inlineStr">
        <is>
          <t>Item price-demand simulation</t>
        </is>
      </c>
      <c r="E108" s="2" t="inlineStr">
        <is>
          <t>Validation / failure handling</t>
        </is>
      </c>
      <c r="F108" s="2" t="inlineStr">
        <is>
          <t>P1</t>
        </is>
      </c>
      <c r="G108" s="2" t="inlineStr">
        <is>
          <t>Use approved QA environment, required fixtures and authorized QA account; open the feature location. For access tests begin in stated signed-out state.</t>
        </is>
      </c>
      <c r="H108" s="2" t="inlineStr">
        <is>
          <t>QA-BUNDLES / QA-LEDGER</t>
        </is>
      </c>
      <c r="I108" s="2" t="inlineStr">
        <is>
          <t>Test no matching item, zero/max allowed discount and failed request.</t>
        </is>
      </c>
      <c r="J108" s="2" t="inlineStr">
        <is>
          <t>No stale wrong-item output, invalid price or fabricated measured uplift.</t>
        </is>
      </c>
      <c r="K108" s="2" t="inlineStr">
        <is>
          <t>Read-only; restore temporary QA filters/settings.</t>
        </is>
      </c>
      <c r="L108" s="2" t="inlineStr">
        <is>
          <t>frontend/src/app/pages/AISimulation.tsx</t>
        </is>
      </c>
      <c r="M108" s="2" t="inlineStr">
        <is>
          <t>Not Run</t>
        </is>
      </c>
      <c r="N108" s="2" t="inlineStr"/>
      <c r="O108" s="2" t="inlineStr"/>
      <c r="P108" s="2" t="inlineStr"/>
      <c r="Q108" s="2" t="inlineStr"/>
      <c r="R108" s="2" t="inlineStr"/>
    </row>
    <row r="109" ht="110" customHeight="1">
      <c r="A109" s="3" t="inlineStr">
        <is>
          <t>TC-108</t>
        </is>
      </c>
      <c r="B109" s="3" t="inlineStr">
        <is>
          <t>F-036</t>
        </is>
      </c>
      <c r="C109" s="3" t="inlineStr">
        <is>
          <t>Pricing Laboratory</t>
        </is>
      </c>
      <c r="D109" s="3" t="inlineStr">
        <is>
          <t>Item price-demand simulation</t>
        </is>
      </c>
      <c r="E109" s="3" t="inlineStr">
        <is>
          <t>Correctness / persistence</t>
        </is>
      </c>
      <c r="F109" s="3" t="inlineStr">
        <is>
          <t>P1</t>
        </is>
      </c>
      <c r="G109" s="3" t="inlineStr">
        <is>
          <t>Use approved QA environment, required fixtures and authorized QA account; open the feature location. For access tests begin in stated signed-out state.</t>
        </is>
      </c>
      <c r="H109" s="3" t="inlineStr">
        <is>
          <t>QA-BUNDLES / QA-LEDGER</t>
        </is>
      </c>
      <c r="I109" s="3" t="inlineStr">
        <is>
          <t>Compare zero-discount baseline and price arithmetic; verify catalog price unchanged.</t>
        </is>
      </c>
      <c r="J109" s="3" t="inlineStr">
        <is>
          <t>Discount calculation correct; modeled elasticity not asserted as observed causality.</t>
        </is>
      </c>
      <c r="K109" s="3" t="inlineStr">
        <is>
          <t>Read-only; restore temporary QA filters/settings.</t>
        </is>
      </c>
      <c r="L109" s="3" t="inlineStr">
        <is>
          <t>frontend/src/app/pages/AISimulation.tsx</t>
        </is>
      </c>
      <c r="M109" s="3" t="inlineStr">
        <is>
          <t>Not Run</t>
        </is>
      </c>
      <c r="N109" s="3" t="inlineStr"/>
      <c r="O109" s="3" t="inlineStr"/>
      <c r="P109" s="3" t="inlineStr"/>
      <c r="Q109" s="3" t="inlineStr"/>
      <c r="R109" s="3" t="inlineStr"/>
    </row>
    <row r="110" ht="110" customHeight="1">
      <c r="A110" s="2" t="inlineStr">
        <is>
          <t>TC-109</t>
        </is>
      </c>
      <c r="B110" s="2" t="inlineStr">
        <is>
          <t>F-037</t>
        </is>
      </c>
      <c r="C110" s="2" t="inlineStr">
        <is>
          <t>Traffic Optimizer</t>
        </is>
      </c>
      <c r="D110" s="2" t="inlineStr">
        <is>
          <t>Date-specific hourly traffic planning</t>
        </is>
      </c>
      <c r="E110" s="2" t="inlineStr">
        <is>
          <t>Successful workflow</t>
        </is>
      </c>
      <c r="F110" s="2" t="inlineStr">
        <is>
          <t>P0</t>
        </is>
      </c>
      <c r="G110" s="2" t="inlineStr">
        <is>
          <t>Use approved QA environment, required fixtures and authorized QA account; open the feature location. For access tests begin in stated signed-out state.</t>
        </is>
      </c>
      <c r="H110" s="2" t="inlineStr">
        <is>
          <t>QA-FORECAST</t>
        </is>
      </c>
      <c r="I110" s="2" t="inlineStr">
        <is>
          <t>Choose Today then Tomorrow; inspect sector/hour forecast and Services sub-sectors; change demand-shift preset.</t>
        </is>
      </c>
      <c r="J110" s="2" t="inlineStr">
        <is>
          <t>Correct date/hour/sector forecast and scenario shift shown.</t>
        </is>
      </c>
      <c r="K110" s="2" t="inlineStr">
        <is>
          <t>Read-only; restore temporary QA filters/settings.</t>
        </is>
      </c>
      <c r="L110" s="2" t="inlineStr">
        <is>
          <t>frontend/src/app/pages/AISimulation.tsx</t>
        </is>
      </c>
      <c r="M110" s="2" t="inlineStr">
        <is>
          <t>Not Run</t>
        </is>
      </c>
      <c r="N110" s="2" t="inlineStr"/>
      <c r="O110" s="2" t="inlineStr"/>
      <c r="P110" s="2" t="inlineStr"/>
      <c r="Q110" s="2" t="inlineStr"/>
      <c r="R110" s="2" t="inlineStr"/>
    </row>
    <row r="111" ht="110" customHeight="1">
      <c r="A111" s="3" t="inlineStr">
        <is>
          <t>TC-110</t>
        </is>
      </c>
      <c r="B111" s="3" t="inlineStr">
        <is>
          <t>F-037</t>
        </is>
      </c>
      <c r="C111" s="3" t="inlineStr">
        <is>
          <t>Traffic Optimizer</t>
        </is>
      </c>
      <c r="D111" s="3" t="inlineStr">
        <is>
          <t>Date-specific hourly traffic planning</t>
        </is>
      </c>
      <c r="E111" s="3" t="inlineStr">
        <is>
          <t>Validation / failure handling</t>
        </is>
      </c>
      <c r="F111" s="3" t="inlineStr">
        <is>
          <t>P0</t>
        </is>
      </c>
      <c r="G111" s="3" t="inlineStr">
        <is>
          <t>Use approved QA environment, required fixtures and authorized QA account; open the feature location. For access tests begin in stated signed-out state.</t>
        </is>
      </c>
      <c r="H111" s="3" t="inlineStr">
        <is>
          <t>QA-FORECAST</t>
        </is>
      </c>
      <c r="I111" s="3" t="inlineStr">
        <is>
          <t>Use missing forecast and demand-shift bounds; open route/deep-link aliases.</t>
        </is>
      </c>
      <c r="J111" s="3" t="inlineStr">
        <is>
          <t>Honest unavailable state; valid bounds; aliases open intended tab.</t>
        </is>
      </c>
      <c r="K111" s="3" t="inlineStr">
        <is>
          <t>Read-only; restore temporary QA filters/settings.</t>
        </is>
      </c>
      <c r="L111" s="3" t="inlineStr">
        <is>
          <t>frontend/src/app/pages/AISimulation.tsx</t>
        </is>
      </c>
      <c r="M111" s="3" t="inlineStr">
        <is>
          <t>Not Run</t>
        </is>
      </c>
      <c r="N111" s="3" t="inlineStr"/>
      <c r="O111" s="3" t="inlineStr"/>
      <c r="P111" s="3" t="inlineStr"/>
      <c r="Q111" s="3" t="inlineStr"/>
      <c r="R111" s="3" t="inlineStr"/>
    </row>
    <row r="112" ht="110" customHeight="1">
      <c r="A112" s="2" t="inlineStr">
        <is>
          <t>TC-111</t>
        </is>
      </c>
      <c r="B112" s="2" t="inlineStr">
        <is>
          <t>F-037</t>
        </is>
      </c>
      <c r="C112" s="2" t="inlineStr">
        <is>
          <t>Traffic Optimizer</t>
        </is>
      </c>
      <c r="D112" s="2" t="inlineStr">
        <is>
          <t>Date-specific hourly traffic planning</t>
        </is>
      </c>
      <c r="E112" s="2" t="inlineStr">
        <is>
          <t>Correctness / persistence</t>
        </is>
      </c>
      <c r="F112" s="2" t="inlineStr">
        <is>
          <t>P0</t>
        </is>
      </c>
      <c r="G112" s="2" t="inlineStr">
        <is>
          <t>Use approved QA environment, required fixtures and authorized QA account; open the feature location. For access tests begin in stated signed-out state.</t>
        </is>
      </c>
      <c r="H112" s="2" t="inlineStr">
        <is>
          <t>QA-FORECAST</t>
        </is>
      </c>
      <c r="I112" s="2" t="inlineStr">
        <is>
          <t>Compare summed sector/hour values to source API for same date; inspect sub-sector aggregation.</t>
        </is>
      </c>
      <c r="J112" s="2" t="inlineStr">
        <is>
          <t>No duplication of Services total/subrows; forecast distinguished from actual visits/people.</t>
        </is>
      </c>
      <c r="K112" s="2" t="inlineStr">
        <is>
          <t>Read-only; restore temporary QA filters/settings.</t>
        </is>
      </c>
      <c r="L112" s="2" t="inlineStr">
        <is>
          <t>frontend/src/app/pages/AISimulation.tsx</t>
        </is>
      </c>
      <c r="M112" s="2" t="inlineStr">
        <is>
          <t>Not Run</t>
        </is>
      </c>
      <c r="N112" s="2" t="inlineStr"/>
      <c r="O112" s="2" t="inlineStr"/>
      <c r="P112" s="2" t="inlineStr"/>
      <c r="Q112" s="2" t="inlineStr"/>
      <c r="R112" s="2" t="inlineStr"/>
    </row>
    <row r="113" ht="110" customHeight="1">
      <c r="A113" s="3" t="inlineStr">
        <is>
          <t>TC-112</t>
        </is>
      </c>
      <c r="B113" s="3" t="inlineStr">
        <is>
          <t>F-038</t>
        </is>
      </c>
      <c r="C113" s="3" t="inlineStr">
        <is>
          <t>Traffic Optimizer</t>
        </is>
      </c>
      <c r="D113" s="3" t="inlineStr">
        <is>
          <t>Staffing recommendation acceptance and feedback</t>
        </is>
      </c>
      <c r="E113" s="3" t="inlineStr">
        <is>
          <t>Successful workflow</t>
        </is>
      </c>
      <c r="F113" s="3" t="inlineStr">
        <is>
          <t>P1</t>
        </is>
      </c>
      <c r="G113" s="3" t="inlineStr">
        <is>
          <t>Use approved QA environment, required fixtures and authorized QA account; open the feature location. For access tests begin in stated signed-out state.</t>
        </is>
      </c>
      <c r="H113" s="3" t="inlineStr">
        <is>
          <t>QA-FEEDBACK</t>
        </is>
      </c>
      <c r="I113" s="3" t="inlineStr">
        <is>
          <t>Inspect QA staffing recommendation for selected date/hour; accept sector/overall recommendation; submit feedback on separate results.</t>
        </is>
      </c>
      <c r="J113" s="3" t="inlineStr">
        <is>
          <t>Correct plan acceptance/feedback saved once; status updated.</t>
        </is>
      </c>
      <c r="K113" s="3" t="inlineStr">
        <is>
          <t>QA plans only.</t>
        </is>
      </c>
      <c r="L113" s="3" t="inlineStr">
        <is>
          <t>frontend/src/app/pages/AISimulation.tsx</t>
        </is>
      </c>
      <c r="M113" s="3" t="inlineStr">
        <is>
          <t>Not Run</t>
        </is>
      </c>
      <c r="N113" s="3" t="inlineStr"/>
      <c r="O113" s="3" t="inlineStr"/>
      <c r="P113" s="3" t="inlineStr"/>
      <c r="Q113" s="3" t="inlineStr"/>
      <c r="R113" s="3" t="inlineStr"/>
    </row>
    <row r="114" ht="110" customHeight="1">
      <c r="A114" s="2" t="inlineStr">
        <is>
          <t>TC-113</t>
        </is>
      </c>
      <c r="B114" s="2" t="inlineStr">
        <is>
          <t>F-038</t>
        </is>
      </c>
      <c r="C114" s="2" t="inlineStr">
        <is>
          <t>Traffic Optimizer</t>
        </is>
      </c>
      <c r="D114" s="2" t="inlineStr">
        <is>
          <t>Staffing recommendation acceptance and feedback</t>
        </is>
      </c>
      <c r="E114" s="2" t="inlineStr">
        <is>
          <t>Validation / failure handling</t>
        </is>
      </c>
      <c r="F114" s="2" t="inlineStr">
        <is>
          <t>P1</t>
        </is>
      </c>
      <c r="G114" s="2" t="inlineStr">
        <is>
          <t>Use approved QA environment, required fixtures and authorized QA account; open the feature location. For access tests begin in stated signed-out state.</t>
        </is>
      </c>
      <c r="H114" s="2" t="inlineStr">
        <is>
          <t>QA-FEEDBACK</t>
        </is>
      </c>
      <c r="I114" s="2" t="inlineStr">
        <is>
          <t>Repeat acceptance and fail save; use no eligible recommendation state.</t>
        </is>
      </c>
      <c r="J114" s="2" t="inlineStr">
        <is>
          <t>No duplicate/false acceptance; busy/error state recoverable.</t>
        </is>
      </c>
      <c r="K114" s="2" t="inlineStr">
        <is>
          <t>QA plans only.</t>
        </is>
      </c>
      <c r="L114" s="2" t="inlineStr">
        <is>
          <t>frontend/src/app/pages/AISimulation.tsx</t>
        </is>
      </c>
      <c r="M114" s="2" t="inlineStr">
        <is>
          <t>Not Run</t>
        </is>
      </c>
      <c r="N114" s="2" t="inlineStr"/>
      <c r="O114" s="2" t="inlineStr"/>
      <c r="P114" s="2" t="inlineStr"/>
      <c r="Q114" s="2" t="inlineStr"/>
      <c r="R114" s="2" t="inlineStr"/>
    </row>
    <row r="115" ht="110" customHeight="1">
      <c r="A115" s="3" t="inlineStr">
        <is>
          <t>TC-114</t>
        </is>
      </c>
      <c r="B115" s="3" t="inlineStr">
        <is>
          <t>F-038</t>
        </is>
      </c>
      <c r="C115" s="3" t="inlineStr">
        <is>
          <t>Traffic Optimizer</t>
        </is>
      </c>
      <c r="D115" s="3" t="inlineStr">
        <is>
          <t>Staffing recommendation acceptance and feedback</t>
        </is>
      </c>
      <c r="E115" s="3" t="inlineStr">
        <is>
          <t>Correctness / persistence</t>
        </is>
      </c>
      <c r="F115" s="3" t="inlineStr">
        <is>
          <t>P1</t>
        </is>
      </c>
      <c r="G115" s="3" t="inlineStr">
        <is>
          <t>Use approved QA environment, required fixtures and authorized QA account; open the feature location. For access tests begin in stated signed-out state.</t>
        </is>
      </c>
      <c r="H115" s="3" t="inlineStr">
        <is>
          <t>QA-FEEDBACK</t>
        </is>
      </c>
      <c r="I115" s="3" t="inlineStr">
        <is>
          <t>Reload; compare recommendation scope and Audit/Feedback record.</t>
        </is>
      </c>
      <c r="J115" s="3" t="inlineStr">
        <is>
          <t>Correct date/hour/sector/staffing retained; acceptance is not falsely claimed as actual roster assignment.</t>
        </is>
      </c>
      <c r="K115" s="3" t="inlineStr">
        <is>
          <t>QA plans only.</t>
        </is>
      </c>
      <c r="L115" s="3" t="inlineStr">
        <is>
          <t>frontend/src/app/pages/AISimulation.tsx</t>
        </is>
      </c>
      <c r="M115" s="3" t="inlineStr">
        <is>
          <t>Not Run</t>
        </is>
      </c>
      <c r="N115" s="3" t="inlineStr"/>
      <c r="O115" s="3" t="inlineStr"/>
      <c r="P115" s="3" t="inlineStr"/>
      <c r="Q115" s="3" t="inlineStr"/>
      <c r="R115" s="3" t="inlineStr"/>
    </row>
    <row r="116" ht="110" customHeight="1">
      <c r="A116" s="2" t="inlineStr">
        <is>
          <t>TC-115</t>
        </is>
      </c>
      <c r="B116" s="2" t="inlineStr">
        <is>
          <t>F-039</t>
        </is>
      </c>
      <c r="C116" s="2" t="inlineStr">
        <is>
          <t>Operations What-If</t>
        </is>
      </c>
      <c r="D116" s="2" t="inlineStr">
        <is>
          <t>Simulation input sourcing</t>
        </is>
      </c>
      <c r="E116" s="2" t="inlineStr">
        <is>
          <t>Successful workflow</t>
        </is>
      </c>
      <c r="F116" s="2" t="inlineStr">
        <is>
          <t>P0</t>
        </is>
      </c>
      <c r="G116" s="2" t="inlineStr">
        <is>
          <t>Use approved QA environment, required fixtures and authorized QA account; open the feature location. For access tests begin in stated signed-out state.</t>
        </is>
      </c>
      <c r="H116" s="2" t="inlineStr">
        <is>
          <t>QA-FORECAST / QA-SIM</t>
        </is>
      </c>
      <c r="I116" s="2" t="inlineStr">
        <is>
          <t>Select source and target date/window; Load inputs; inspect source details and effective demand.</t>
        </is>
      </c>
      <c r="J116" s="2" t="inlineStr">
        <is>
          <t>Demand and assumptions reflect selected source, date and operating window.</t>
        </is>
      </c>
      <c r="K116" s="2" t="inlineStr">
        <is>
          <t>Read-only; restore temporary QA filters/settings.</t>
        </is>
      </c>
      <c r="L116" s="2" t="inlineStr">
        <is>
          <t>frontend/src/app/components/simulation/OperationsWhatIf.tsx</t>
        </is>
      </c>
      <c r="M116" s="2" t="inlineStr">
        <is>
          <t>Not Run</t>
        </is>
      </c>
      <c r="N116" s="2" t="inlineStr"/>
      <c r="O116" s="2" t="inlineStr"/>
      <c r="P116" s="2" t="inlineStr"/>
      <c r="Q116" s="2" t="inlineStr"/>
      <c r="R116" s="2" t="inlineStr"/>
    </row>
    <row r="117" ht="110" customHeight="1">
      <c r="A117" s="3" t="inlineStr">
        <is>
          <t>TC-116</t>
        </is>
      </c>
      <c r="B117" s="3" t="inlineStr">
        <is>
          <t>F-039</t>
        </is>
      </c>
      <c r="C117" s="3" t="inlineStr">
        <is>
          <t>Operations What-If</t>
        </is>
      </c>
      <c r="D117" s="3" t="inlineStr">
        <is>
          <t>Simulation input sourcing</t>
        </is>
      </c>
      <c r="E117" s="3" t="inlineStr">
        <is>
          <t>Validation / failure handling</t>
        </is>
      </c>
      <c r="F117" s="3" t="inlineStr">
        <is>
          <t>P0</t>
        </is>
      </c>
      <c r="G117" s="3" t="inlineStr">
        <is>
          <t>Use approved QA environment, required fixtures and authorized QA account; open the feature location. For access tests begin in stated signed-out state.</t>
        </is>
      </c>
      <c r="H117" s="3" t="inlineStr">
        <is>
          <t>QA-FORECAST / QA-SIM</t>
        </is>
      </c>
      <c r="I117" s="3" t="inlineStr">
        <is>
          <t>Try invalid/missing dates and unavailable analytics source.</t>
        </is>
      </c>
      <c r="J117" s="3" t="inlineStr">
        <is>
          <t>Validation/unavailable/fallback explicit; no hidden hardcoded demand represented as forecast.</t>
        </is>
      </c>
      <c r="K117" s="3" t="inlineStr">
        <is>
          <t>Read-only; restore temporary QA filters/settings.</t>
        </is>
      </c>
      <c r="L117" s="3" t="inlineStr">
        <is>
          <t>frontend/src/app/components/simulation/OperationsWhatIf.tsx</t>
        </is>
      </c>
      <c r="M117" s="3" t="inlineStr">
        <is>
          <t>Not Run</t>
        </is>
      </c>
      <c r="N117" s="3" t="inlineStr"/>
      <c r="O117" s="3" t="inlineStr"/>
      <c r="P117" s="3" t="inlineStr"/>
      <c r="Q117" s="3" t="inlineStr"/>
      <c r="R117" s="3" t="inlineStr"/>
    </row>
    <row r="118" ht="110" customHeight="1">
      <c r="A118" s="2" t="inlineStr">
        <is>
          <t>TC-117</t>
        </is>
      </c>
      <c r="B118" s="2" t="inlineStr">
        <is>
          <t>F-039</t>
        </is>
      </c>
      <c r="C118" s="2" t="inlineStr">
        <is>
          <t>Operations What-If</t>
        </is>
      </c>
      <c r="D118" s="2" t="inlineStr">
        <is>
          <t>Simulation input sourcing</t>
        </is>
      </c>
      <c r="E118" s="2" t="inlineStr">
        <is>
          <t>Correctness / persistence</t>
        </is>
      </c>
      <c r="F118" s="2" t="inlineStr">
        <is>
          <t>P0</t>
        </is>
      </c>
      <c r="G118" s="2" t="inlineStr">
        <is>
          <t>Use approved QA environment, required fixtures and authorized QA account; open the feature location. For access tests begin in stated signed-out state.</t>
        </is>
      </c>
      <c r="H118" s="2" t="inlineStr">
        <is>
          <t>QA-FORECAST / QA-SIM</t>
        </is>
      </c>
      <c r="I118" s="2" t="inlineStr">
        <is>
          <t>For forecast, sum relevant hourly Cafe/Services inputs; for historical verify documented weekday/window calculation; export config.</t>
        </is>
      </c>
      <c r="J118" s="2" t="inlineStr">
        <is>
          <t>Loaded inputs reconcile to correct source; orders/visits not assumed unique people.</t>
        </is>
      </c>
      <c r="K118" s="2" t="inlineStr">
        <is>
          <t>Read-only; restore temporary QA filters/settings.</t>
        </is>
      </c>
      <c r="L118" s="2" t="inlineStr">
        <is>
          <t>frontend/src/app/components/simulation/OperationsWhatIf.tsx</t>
        </is>
      </c>
      <c r="M118" s="2" t="inlineStr">
        <is>
          <t>Not Run</t>
        </is>
      </c>
      <c r="N118" s="2" t="inlineStr"/>
      <c r="O118" s="2" t="inlineStr"/>
      <c r="P118" s="2" t="inlineStr"/>
      <c r="Q118" s="2" t="inlineStr"/>
      <c r="R118" s="2" t="inlineStr"/>
    </row>
    <row r="119" ht="110" customHeight="1">
      <c r="A119" s="3" t="inlineStr">
        <is>
          <t>TC-118</t>
        </is>
      </c>
      <c r="B119" s="3" t="inlineStr">
        <is>
          <t>F-040</t>
        </is>
      </c>
      <c r="C119" s="3" t="inlineStr">
        <is>
          <t>Operations What-If</t>
        </is>
      </c>
      <c r="D119" s="3" t="inlineStr">
        <is>
          <t>Scenario configuration and matched baseline</t>
        </is>
      </c>
      <c r="E119" s="3" t="inlineStr">
        <is>
          <t>Successful workflow</t>
        </is>
      </c>
      <c r="F119" s="3" t="inlineStr">
        <is>
          <t>P0</t>
        </is>
      </c>
      <c r="G119" s="3" t="inlineStr">
        <is>
          <t>Use approved QA environment, required fixtures and authorized QA account; open the feature location. For access tests begin in stated signed-out state.</t>
        </is>
      </c>
      <c r="H119" s="3" t="inlineStr">
        <is>
          <t>QA-SIM</t>
        </is>
      </c>
      <c r="I119" s="3" t="inlineStr">
        <is>
          <t>Load input; edit baseline/What-If, apply preset and overrides; inspect service mix/hour weights; Copy baseline and re-edit.</t>
        </is>
      </c>
      <c r="J119" s="3" t="inlineStr">
        <is>
          <t>Effective settings accurately represented; matched date/window/seed preserved; configurations independent.</t>
        </is>
      </c>
      <c r="K119" s="3" t="inlineStr">
        <is>
          <t>Read-only; restore temporary QA filters/settings.</t>
        </is>
      </c>
      <c r="L119" s="3" t="inlineStr">
        <is>
          <t>frontend/src/app/components/simulation/OperationsWhatIf.tsx</t>
        </is>
      </c>
      <c r="M119" s="3" t="inlineStr">
        <is>
          <t>Not Run</t>
        </is>
      </c>
      <c r="N119" s="3" t="inlineStr"/>
      <c r="O119" s="3" t="inlineStr"/>
      <c r="P119" s="3" t="inlineStr"/>
      <c r="Q119" s="3" t="inlineStr"/>
      <c r="R119" s="3" t="inlineStr"/>
    </row>
    <row r="120" ht="110" customHeight="1">
      <c r="A120" s="2" t="inlineStr">
        <is>
          <t>TC-119</t>
        </is>
      </c>
      <c r="B120" s="2" t="inlineStr">
        <is>
          <t>F-040</t>
        </is>
      </c>
      <c r="C120" s="2" t="inlineStr">
        <is>
          <t>Operations What-If</t>
        </is>
      </c>
      <c r="D120" s="2" t="inlineStr">
        <is>
          <t>Scenario configuration and matched baseline</t>
        </is>
      </c>
      <c r="E120" s="2" t="inlineStr">
        <is>
          <t>Validation / failure handling</t>
        </is>
      </c>
      <c r="F120" s="2" t="inlineStr">
        <is>
          <t>P0</t>
        </is>
      </c>
      <c r="G120" s="2" t="inlineStr">
        <is>
          <t>Use approved QA environment, required fixtures and authorized QA account; open the feature location. For access tests begin in stated signed-out state.</t>
        </is>
      </c>
      <c r="H120" s="2" t="inlineStr">
        <is>
          <t>QA-SIM</t>
        </is>
      </c>
      <c r="I120" s="2" t="inlineStr">
        <is>
          <t>Try invalid demand/resources/rates/durations, empty weights and invalid service parameters.</t>
        </is>
      </c>
      <c r="J120" s="2" t="inlineStr">
        <is>
          <t>Invalid configuration rejected or visibly bounded; no silent impossible run.</t>
        </is>
      </c>
      <c r="K120" s="2" t="inlineStr">
        <is>
          <t>Read-only; restore temporary QA filters/settings.</t>
        </is>
      </c>
      <c r="L120" s="2" t="inlineStr">
        <is>
          <t>frontend/src/app/components/simulation/OperationsWhatIf.tsx</t>
        </is>
      </c>
      <c r="M120" s="2" t="inlineStr">
        <is>
          <t>Not Run</t>
        </is>
      </c>
      <c r="N120" s="2" t="inlineStr"/>
      <c r="O120" s="2" t="inlineStr"/>
      <c r="P120" s="2" t="inlineStr"/>
      <c r="Q120" s="2" t="inlineStr"/>
      <c r="R120" s="2" t="inlineStr"/>
    </row>
    <row r="121" ht="110" customHeight="1">
      <c r="A121" s="3" t="inlineStr">
        <is>
          <t>TC-120</t>
        </is>
      </c>
      <c r="B121" s="3" t="inlineStr">
        <is>
          <t>F-040</t>
        </is>
      </c>
      <c r="C121" s="3" t="inlineStr">
        <is>
          <t>Operations What-If</t>
        </is>
      </c>
      <c r="D121" s="3" t="inlineStr">
        <is>
          <t>Scenario configuration and matched baseline</t>
        </is>
      </c>
      <c r="E121" s="3" t="inlineStr">
        <is>
          <t>Correctness / persistence</t>
        </is>
      </c>
      <c r="F121" s="3" t="inlineStr">
        <is>
          <t>P0</t>
        </is>
      </c>
      <c r="G121" s="3" t="inlineStr">
        <is>
          <t>Use approved QA environment, required fixtures and authorized QA account; open the feature location. For access tests begin in stated signed-out state.</t>
        </is>
      </c>
      <c r="H121" s="3" t="inlineStr">
        <is>
          <t>QA-SIM</t>
        </is>
      </c>
      <c r="I121" s="3" t="inlineStr">
        <is>
          <t>Export effective config; compare all changed fields and original baseline after What-If edits.</t>
        </is>
      </c>
      <c r="J121" s="3" t="inlineStr">
        <is>
          <t>Parameters and service/resource units correct; baseline not mutated by shallow-copy edits.</t>
        </is>
      </c>
      <c r="K121" s="3" t="inlineStr">
        <is>
          <t>Read-only; restore temporary QA filters/settings.</t>
        </is>
      </c>
      <c r="L121" s="3" t="inlineStr">
        <is>
          <t>frontend/src/app/components/simulation/OperationsWhatIf.tsx</t>
        </is>
      </c>
      <c r="M121" s="3" t="inlineStr">
        <is>
          <t>Not Run</t>
        </is>
      </c>
      <c r="N121" s="3" t="inlineStr"/>
      <c r="O121" s="3" t="inlineStr"/>
      <c r="P121" s="3" t="inlineStr"/>
      <c r="Q121" s="3" t="inlineStr"/>
      <c r="R121" s="3" t="inlineStr"/>
    </row>
    <row r="122" ht="110" customHeight="1">
      <c r="A122" s="2" t="inlineStr">
        <is>
          <t>TC-121</t>
        </is>
      </c>
      <c r="B122" s="2" t="inlineStr">
        <is>
          <t>F-041</t>
        </is>
      </c>
      <c r="C122" s="2" t="inlineStr">
        <is>
          <t>Operations What-If</t>
        </is>
      </c>
      <c r="D122" s="2" t="inlineStr">
        <is>
          <t>Animated operations and real lifecycle</t>
        </is>
      </c>
      <c r="E122" s="2" t="inlineStr">
        <is>
          <t>Successful workflow</t>
        </is>
      </c>
      <c r="F122" s="2" t="inlineStr">
        <is>
          <t>P0</t>
        </is>
      </c>
      <c r="G122" s="2" t="inlineStr">
        <is>
          <t>Use approved QA environment, required fixtures and authorized QA account; open the feature location. For access tests begin in stated signed-out state.</t>
        </is>
      </c>
      <c r="H122" s="2" t="inlineStr">
        <is>
          <t>QA-SIM</t>
        </is>
      </c>
      <c r="I122" s="2" t="inlineStr">
        <is>
          <t>Run controlled QA scenario; follow a customer/pet from entrance to reception, wait, service, payment and exit.</t>
        </is>
      </c>
      <c r="J122" s="2" t="inlineStr">
        <is>
          <t>Moving entities represent actual engine states; staff/station assignments and queue positions coherent.</t>
        </is>
      </c>
      <c r="K122" s="2" t="inlineStr">
        <is>
          <t>Read-only; restore temporary QA filters/settings.</t>
        </is>
      </c>
      <c r="L122" s="2" t="inlineStr">
        <is>
          <t>frontend/src/app/components/simulation/OperationsWhatIf.tsx</t>
        </is>
      </c>
      <c r="M122" s="2" t="inlineStr">
        <is>
          <t>Not Run</t>
        </is>
      </c>
      <c r="N122" s="2" t="inlineStr"/>
      <c r="O122" s="2" t="inlineStr"/>
      <c r="P122" s="2" t="inlineStr"/>
      <c r="Q122" s="2" t="inlineStr"/>
      <c r="R122" s="2" t="inlineStr"/>
    </row>
    <row r="123" ht="110" customHeight="1">
      <c r="A123" s="3" t="inlineStr">
        <is>
          <t>TC-122</t>
        </is>
      </c>
      <c r="B123" s="3" t="inlineStr">
        <is>
          <t>F-041</t>
        </is>
      </c>
      <c r="C123" s="3" t="inlineStr">
        <is>
          <t>Operations What-If</t>
        </is>
      </c>
      <c r="D123" s="3" t="inlineStr">
        <is>
          <t>Animated operations and real lifecycle</t>
        </is>
      </c>
      <c r="E123" s="3" t="inlineStr">
        <is>
          <t>Validation / failure handling</t>
        </is>
      </c>
      <c r="F123" s="3" t="inlineStr">
        <is>
          <t>P0</t>
        </is>
      </c>
      <c r="G123" s="3" t="inlineStr">
        <is>
          <t>Use approved QA environment, required fixtures and authorized QA account; open the feature location. For access tests begin in stated signed-out state.</t>
        </is>
      </c>
      <c r="H123" s="3" t="inlineStr">
        <is>
          <t>QA-SIM</t>
        </is>
      </c>
      <c r="I123" s="3" t="inlineStr">
        <is>
          <t>Run zero demand, zero staff/stations and exhausted inventory scenarios.</t>
        </is>
      </c>
      <c r="J123" s="3" t="inlineStr">
        <is>
          <t>No phantom customers/revenue/service capacity; waiting/loss/unfinished states handled without crash.</t>
        </is>
      </c>
      <c r="K123" s="3" t="inlineStr">
        <is>
          <t>Read-only; restore temporary QA filters/settings.</t>
        </is>
      </c>
      <c r="L123" s="3" t="inlineStr">
        <is>
          <t>frontend/src/app/components/simulation/OperationsWhatIf.tsx</t>
        </is>
      </c>
      <c r="M123" s="3" t="inlineStr">
        <is>
          <t>Not Run</t>
        </is>
      </c>
      <c r="N123" s="3" t="inlineStr"/>
      <c r="O123" s="3" t="inlineStr"/>
      <c r="P123" s="3" t="inlineStr"/>
      <c r="Q123" s="3" t="inlineStr"/>
      <c r="R123" s="3" t="inlineStr"/>
    </row>
    <row r="124" ht="110" customHeight="1">
      <c r="A124" s="2" t="inlineStr">
        <is>
          <t>TC-123</t>
        </is>
      </c>
      <c r="B124" s="2" t="inlineStr">
        <is>
          <t>F-041</t>
        </is>
      </c>
      <c r="C124" s="2" t="inlineStr">
        <is>
          <t>Operations What-If</t>
        </is>
      </c>
      <c r="D124" s="2" t="inlineStr">
        <is>
          <t>Animated operations and real lifecycle</t>
        </is>
      </c>
      <c r="E124" s="2" t="inlineStr">
        <is>
          <t>Correctness / persistence</t>
        </is>
      </c>
      <c r="F124" s="2" t="inlineStr">
        <is>
          <t>P0</t>
        </is>
      </c>
      <c r="G124" s="2" t="inlineStr">
        <is>
          <t>Use approved QA environment, required fixtures and authorized QA account; open the feature location. For access tests begin in stated signed-out state.</t>
        </is>
      </c>
      <c r="H124" s="2" t="inlineStr">
        <is>
          <t>QA-SIM</t>
        </is>
      </c>
      <c r="I124" s="2" t="inlineStr">
        <is>
          <t>Pause and reconcile floor entities, progress, remaining time and population counts to trace.</t>
        </is>
      </c>
      <c r="J124" s="2" t="inlineStr">
        <is>
          <t>UI state matches engine; animation never generates outcomes.</t>
        </is>
      </c>
      <c r="K124" s="2" t="inlineStr">
        <is>
          <t>Read-only; restore temporary QA filters/settings.</t>
        </is>
      </c>
      <c r="L124" s="2" t="inlineStr">
        <is>
          <t>frontend/src/app/components/simulation/OperationsWhatIf.tsx</t>
        </is>
      </c>
      <c r="M124" s="2" t="inlineStr">
        <is>
          <t>Not Run</t>
        </is>
      </c>
      <c r="N124" s="2" t="inlineStr"/>
      <c r="O124" s="2" t="inlineStr"/>
      <c r="P124" s="2" t="inlineStr"/>
      <c r="Q124" s="2" t="inlineStr"/>
      <c r="R124" s="2" t="inlineStr"/>
    </row>
    <row r="125" ht="110" customHeight="1">
      <c r="A125" s="3" t="inlineStr">
        <is>
          <t>TC-124</t>
        </is>
      </c>
      <c r="B125" s="3" t="inlineStr">
        <is>
          <t>F-042</t>
        </is>
      </c>
      <c r="C125" s="3" t="inlineStr">
        <is>
          <t>Operations What-If</t>
        </is>
      </c>
      <c r="D125" s="3" t="inlineStr">
        <is>
          <t>Playback and state inspection</t>
        </is>
      </c>
      <c r="E125" s="3" t="inlineStr">
        <is>
          <t>Successful workflow</t>
        </is>
      </c>
      <c r="F125" s="3" t="inlineStr">
        <is>
          <t>P0</t>
        </is>
      </c>
      <c r="G125" s="3" t="inlineStr">
        <is>
          <t>Use approved QA environment, required fixtures and authorized QA account; open the feature location. For access tests begin in stated signed-out state.</t>
        </is>
      </c>
      <c r="H125" s="3" t="inlineStr">
        <is>
          <t>QA-SIM</t>
        </is>
      </c>
      <c r="I125" s="3" t="inlineStr">
        <is>
          <t>Run, pause/resume, change speed, seek, reset/replay and select entities/timeline entries.</t>
        </is>
      </c>
      <c r="J125" s="3" t="inlineStr">
        <is>
          <t>Clock/state freeze and resume correctly; selected details refer to current entity/event.</t>
        </is>
      </c>
      <c r="K125" s="3" t="inlineStr">
        <is>
          <t>Read-only; restore temporary QA filters/settings.</t>
        </is>
      </c>
      <c r="L125" s="3" t="inlineStr">
        <is>
          <t>frontend/src/app/components/simulation/OperationsWhatIf.tsx</t>
        </is>
      </c>
      <c r="M125" s="3" t="inlineStr">
        <is>
          <t>Not Run</t>
        </is>
      </c>
      <c r="N125" s="3" t="inlineStr"/>
      <c r="O125" s="3" t="inlineStr"/>
      <c r="P125" s="3" t="inlineStr"/>
      <c r="Q125" s="3" t="inlineStr"/>
      <c r="R125" s="3" t="inlineStr"/>
    </row>
    <row r="126" ht="110" customHeight="1">
      <c r="A126" s="2" t="inlineStr">
        <is>
          <t>TC-125</t>
        </is>
      </c>
      <c r="B126" s="2" t="inlineStr">
        <is>
          <t>F-042</t>
        </is>
      </c>
      <c r="C126" s="2" t="inlineStr">
        <is>
          <t>Operations What-If</t>
        </is>
      </c>
      <c r="D126" s="2" t="inlineStr">
        <is>
          <t>Playback and state inspection</t>
        </is>
      </c>
      <c r="E126" s="2" t="inlineStr">
        <is>
          <t>Validation / failure handling</t>
        </is>
      </c>
      <c r="F126" s="2" t="inlineStr">
        <is>
          <t>P0</t>
        </is>
      </c>
      <c r="G126" s="2" t="inlineStr">
        <is>
          <t>Use approved QA environment, required fixtures and authorized QA account; open the feature location. For access tests begin in stated signed-out state.</t>
        </is>
      </c>
      <c r="H126" s="2" t="inlineStr">
        <is>
          <t>QA-SIM</t>
        </is>
      </c>
      <c r="I126" s="2" t="inlineStr">
        <is>
          <t>Seek backwards/forwards repeatedly; use Instant/end replay; disable animation.</t>
        </is>
      </c>
      <c r="J126" s="2" t="inlineStr">
        <is>
          <t>No duplicate arrivals or accumulated totals; valid boundaries; outcome unaffected by animation/playback.</t>
        </is>
      </c>
      <c r="K126" s="2" t="inlineStr">
        <is>
          <t>Read-only; restore temporary QA filters/settings.</t>
        </is>
      </c>
      <c r="L126" s="2" t="inlineStr">
        <is>
          <t>frontend/src/app/components/simulation/OperationsWhatIf.tsx</t>
        </is>
      </c>
      <c r="M126" s="2" t="inlineStr">
        <is>
          <t>Not Run</t>
        </is>
      </c>
      <c r="N126" s="2" t="inlineStr"/>
      <c r="O126" s="2" t="inlineStr"/>
      <c r="P126" s="2" t="inlineStr"/>
      <c r="Q126" s="2" t="inlineStr"/>
      <c r="R126" s="2" t="inlineStr"/>
    </row>
    <row r="127" ht="110" customHeight="1">
      <c r="A127" s="3" t="inlineStr">
        <is>
          <t>TC-126</t>
        </is>
      </c>
      <c r="B127" s="3" t="inlineStr">
        <is>
          <t>F-042</t>
        </is>
      </c>
      <c r="C127" s="3" t="inlineStr">
        <is>
          <t>Operations What-If</t>
        </is>
      </c>
      <c r="D127" s="3" t="inlineStr">
        <is>
          <t>Playback and state inspection</t>
        </is>
      </c>
      <c r="E127" s="3" t="inlineStr">
        <is>
          <t>Correctness / persistence</t>
        </is>
      </c>
      <c r="F127" s="3" t="inlineStr">
        <is>
          <t>P0</t>
        </is>
      </c>
      <c r="G127" s="3" t="inlineStr">
        <is>
          <t>Use approved QA environment, required fixtures and authorized QA account; open the feature location. For access tests begin in stated signed-out state.</t>
        </is>
      </c>
      <c r="H127" s="3" t="inlineStr">
        <is>
          <t>QA-SIM</t>
        </is>
      </c>
      <c r="I127" s="3" t="inlineStr">
        <is>
          <t>Compare same minute and final metrics at different speeds and identical seed runs.</t>
        </is>
      </c>
      <c r="J127" s="3" t="inlineStr">
        <is>
          <t>Same trace/config gives same state/results; replay does not silently create a new outcome.</t>
        </is>
      </c>
      <c r="K127" s="3" t="inlineStr">
        <is>
          <t>Read-only; restore temporary QA filters/settings.</t>
        </is>
      </c>
      <c r="L127" s="3" t="inlineStr">
        <is>
          <t>frontend/src/app/components/simulation/OperationsWhatIf.tsx</t>
        </is>
      </c>
      <c r="M127" s="3" t="inlineStr">
        <is>
          <t>Not Run</t>
        </is>
      </c>
      <c r="N127" s="3" t="inlineStr"/>
      <c r="O127" s="3" t="inlineStr"/>
      <c r="P127" s="3" t="inlineStr"/>
      <c r="Q127" s="3" t="inlineStr"/>
      <c r="R127" s="3" t="inlineStr"/>
    </row>
    <row r="128" ht="110" customHeight="1">
      <c r="A128" s="2" t="inlineStr">
        <is>
          <t>TC-127</t>
        </is>
      </c>
      <c r="B128" s="2" t="inlineStr">
        <is>
          <t>F-043</t>
        </is>
      </c>
      <c r="C128" s="2" t="inlineStr">
        <is>
          <t>Operations What-If</t>
        </is>
      </c>
      <c r="D128" s="2" t="inlineStr">
        <is>
          <t>Live analytics and bottleneck detection</t>
        </is>
      </c>
      <c r="E128" s="2" t="inlineStr">
        <is>
          <t>Successful workflow</t>
        </is>
      </c>
      <c r="F128" s="2" t="inlineStr">
        <is>
          <t>P0</t>
        </is>
      </c>
      <c r="G128" s="2" t="inlineStr">
        <is>
          <t>Use approved QA environment, required fixtures and authorized QA account; open the feature location. For access tests begin in stated signed-out state.</t>
        </is>
      </c>
      <c r="H128" s="2" t="inlineStr">
        <is>
          <t>QA-SIM</t>
        </is>
      </c>
      <c r="I128" s="2" t="inlineStr">
        <is>
          <t>Use congested scenario; observe waiting, wait time, utilization, revenue/loss/satisfaction and bottleneck panel over time.</t>
        </is>
      </c>
      <c r="J128" s="2" t="inlineStr">
        <is>
          <t>KPIs and detected cause reflect actual state; queue visibly represented with honest overflow count if needed.</t>
        </is>
      </c>
      <c r="K128" s="2" t="inlineStr">
        <is>
          <t>Read-only; restore temporary QA filters/settings.</t>
        </is>
      </c>
      <c r="L128" s="2" t="inlineStr">
        <is>
          <t>frontend/src/app/components/simulation/OperationsWhatIf.tsx</t>
        </is>
      </c>
      <c r="M128" s="2" t="inlineStr">
        <is>
          <t>Not Run</t>
        </is>
      </c>
      <c r="N128" s="2" t="inlineStr"/>
      <c r="O128" s="2" t="inlineStr"/>
      <c r="P128" s="2" t="inlineStr"/>
      <c r="Q128" s="2" t="inlineStr"/>
      <c r="R128" s="2" t="inlineStr"/>
    </row>
    <row r="129" ht="110" customHeight="1">
      <c r="A129" s="3" t="inlineStr">
        <is>
          <t>TC-128</t>
        </is>
      </c>
      <c r="B129" s="3" t="inlineStr">
        <is>
          <t>F-043</t>
        </is>
      </c>
      <c r="C129" s="3" t="inlineStr">
        <is>
          <t>Operations What-If</t>
        </is>
      </c>
      <c r="D129" s="3" t="inlineStr">
        <is>
          <t>Live analytics and bottleneck detection</t>
        </is>
      </c>
      <c r="E129" s="3" t="inlineStr">
        <is>
          <t>Validation / failure handling</t>
        </is>
      </c>
      <c r="F129" s="3" t="inlineStr">
        <is>
          <t>P0</t>
        </is>
      </c>
      <c r="G129" s="3" t="inlineStr">
        <is>
          <t>Use approved QA environment, required fixtures and authorized QA account; open the feature location. For access tests begin in stated signed-out state.</t>
        </is>
      </c>
      <c r="H129" s="3" t="inlineStr">
        <is>
          <t>QA-SIM</t>
        </is>
      </c>
      <c r="I129" s="3" t="inlineStr">
        <is>
          <t>Use no-service/no-customer period and then restore capacity.</t>
        </is>
      </c>
      <c r="J129" s="3" t="inlineStr">
        <is>
          <t>Safe denominators; no fabricated bottleneck; panel updates/clears when state changes.</t>
        </is>
      </c>
      <c r="K129" s="3" t="inlineStr">
        <is>
          <t>Read-only; restore temporary QA filters/settings.</t>
        </is>
      </c>
      <c r="L129" s="3" t="inlineStr">
        <is>
          <t>frontend/src/app/components/simulation/OperationsWhatIf.tsx</t>
        </is>
      </c>
      <c r="M129" s="3" t="inlineStr">
        <is>
          <t>Not Run</t>
        </is>
      </c>
      <c r="N129" s="3" t="inlineStr"/>
      <c r="O129" s="3" t="inlineStr"/>
      <c r="P129" s="3" t="inlineStr"/>
      <c r="Q129" s="3" t="inlineStr"/>
      <c r="R129" s="3" t="inlineStr"/>
    </row>
    <row r="130" ht="110" customHeight="1">
      <c r="A130" s="2" t="inlineStr">
        <is>
          <t>TC-129</t>
        </is>
      </c>
      <c r="B130" s="2" t="inlineStr">
        <is>
          <t>F-043</t>
        </is>
      </c>
      <c r="C130" s="2" t="inlineStr">
        <is>
          <t>Operations What-If</t>
        </is>
      </c>
      <c r="D130" s="2" t="inlineStr">
        <is>
          <t>Live analytics and bottleneck detection</t>
        </is>
      </c>
      <c r="E130" s="2" t="inlineStr">
        <is>
          <t>Correctness / persistence</t>
        </is>
      </c>
      <c r="F130" s="2" t="inlineStr">
        <is>
          <t>P0</t>
        </is>
      </c>
      <c r="G130" s="2" t="inlineStr">
        <is>
          <t>Use approved QA environment, required fixtures and authorized QA account; open the feature location. For access tests begin in stated signed-out state.</t>
        </is>
      </c>
      <c r="H130" s="2" t="inlineStr">
        <is>
          <t>QA-SIM</t>
        </is>
      </c>
      <c r="I130" s="2" t="inlineStr">
        <is>
          <t>At selected minutes compare displayed KPI definitions to trace and completed checkout records.</t>
        </is>
      </c>
      <c r="J130" s="2" t="inlineStr">
        <is>
          <t>Counts/revenue/waits reconcile; full-run totals are not mislabeled live values.</t>
        </is>
      </c>
      <c r="K130" s="2" t="inlineStr">
        <is>
          <t>Read-only; restore temporary QA filters/settings.</t>
        </is>
      </c>
      <c r="L130" s="2" t="inlineStr">
        <is>
          <t>frontend/src/app/components/simulation/OperationsWhatIf.tsx</t>
        </is>
      </c>
      <c r="M130" s="2" t="inlineStr">
        <is>
          <t>Not Run</t>
        </is>
      </c>
      <c r="N130" s="2" t="inlineStr"/>
      <c r="O130" s="2" t="inlineStr"/>
      <c r="P130" s="2" t="inlineStr"/>
      <c r="Q130" s="2" t="inlineStr"/>
      <c r="R130" s="2" t="inlineStr"/>
    </row>
    <row r="131" ht="110" customHeight="1">
      <c r="A131" s="3" t="inlineStr">
        <is>
          <t>TC-130</t>
        </is>
      </c>
      <c r="B131" s="3" t="inlineStr">
        <is>
          <t>F-044</t>
        </is>
      </c>
      <c r="C131" s="3" t="inlineStr">
        <is>
          <t>Injected Events</t>
        </is>
      </c>
      <c r="D131" s="3" t="inlineStr">
        <is>
          <t>Interactive operational event injection</t>
        </is>
      </c>
      <c r="E131" s="3" t="inlineStr">
        <is>
          <t>Successful workflow</t>
        </is>
      </c>
      <c r="F131" s="3" t="inlineStr">
        <is>
          <t>P0</t>
        </is>
      </c>
      <c r="G131" s="3" t="inlineStr">
        <is>
          <t>Use approved QA environment, required fixtures and authorized QA account; open the feature location. For access tests begin in stated signed-out state.</t>
        </is>
      </c>
      <c r="H131" s="3" t="inlineStr">
        <is>
          <t>QA-SIM</t>
        </is>
      </c>
      <c r="I131" s="3" t="inlineStr">
        <is>
          <t>Run seeded scenario with future demand; inject staff/equipment/demand event at recorded minute; observe timeline, floor and analytics.</t>
        </is>
      </c>
      <c r="J131" s="3" t="inlineStr">
        <is>
          <t>Chosen event recorded once with correct value/duration/audience; future engine state changes and UI follows.</t>
        </is>
      </c>
      <c r="K131" s="3" t="inlineStr">
        <is>
          <t>Read-only; restore temporary QA filters/settings.</t>
        </is>
      </c>
      <c r="L131" s="3" t="inlineStr">
        <is>
          <t>frontend/src/app/components/simulation/scenarios.ts</t>
        </is>
      </c>
      <c r="M131" s="3" t="inlineStr">
        <is>
          <t>Not Run</t>
        </is>
      </c>
      <c r="N131" s="3" t="inlineStr"/>
      <c r="O131" s="3" t="inlineStr"/>
      <c r="P131" s="3" t="inlineStr"/>
      <c r="Q131" s="3" t="inlineStr"/>
      <c r="R131" s="3" t="inlineStr"/>
    </row>
    <row r="132" ht="110" customHeight="1">
      <c r="A132" s="2" t="inlineStr">
        <is>
          <t>TC-131</t>
        </is>
      </c>
      <c r="B132" s="2" t="inlineStr">
        <is>
          <t>F-044</t>
        </is>
      </c>
      <c r="C132" s="2" t="inlineStr">
        <is>
          <t>Injected Events</t>
        </is>
      </c>
      <c r="D132" s="2" t="inlineStr">
        <is>
          <t>Interactive operational event injection</t>
        </is>
      </c>
      <c r="E132" s="2" t="inlineStr">
        <is>
          <t>Validation / failure handling</t>
        </is>
      </c>
      <c r="F132" s="2" t="inlineStr">
        <is>
          <t>P0</t>
        </is>
      </c>
      <c r="G132" s="2" t="inlineStr">
        <is>
          <t>Use approved QA environment, required fixtures and authorized QA account; open the feature location. For access tests begin in stated signed-out state.</t>
        </is>
      </c>
      <c r="H132" s="2" t="inlineStr">
        <is>
          <t>QA-SIM</t>
        </is>
      </c>
      <c r="I132" s="2" t="inlineStr">
        <is>
          <t>Cancel injection, repeat Apply during slow request, inject near end and inspect baseline view restrictions.</t>
        </is>
      </c>
      <c r="J132" s="2" t="inlineStr">
        <is>
          <t>Cancel has no effect; duplicate application prevented; no out-of-range or baseline overwrite.</t>
        </is>
      </c>
      <c r="K132" s="2" t="inlineStr">
        <is>
          <t>Read-only; restore temporary QA filters/settings.</t>
        </is>
      </c>
      <c r="L132" s="2" t="inlineStr">
        <is>
          <t>frontend/src/app/components/simulation/scenarios.ts</t>
        </is>
      </c>
      <c r="M132" s="2" t="inlineStr">
        <is>
          <t>Not Run</t>
        </is>
      </c>
      <c r="N132" s="2" t="inlineStr"/>
      <c r="O132" s="2" t="inlineStr"/>
      <c r="P132" s="2" t="inlineStr"/>
      <c r="Q132" s="2" t="inlineStr"/>
      <c r="R132" s="2" t="inlineStr"/>
    </row>
    <row r="133" ht="110" customHeight="1">
      <c r="A133" s="3" t="inlineStr">
        <is>
          <t>TC-132</t>
        </is>
      </c>
      <c r="B133" s="3" t="inlineStr">
        <is>
          <t>F-044</t>
        </is>
      </c>
      <c r="C133" s="3" t="inlineStr">
        <is>
          <t>Injected Events</t>
        </is>
      </c>
      <c r="D133" s="3" t="inlineStr">
        <is>
          <t>Interactive operational event injection</t>
        </is>
      </c>
      <c r="E133" s="3" t="inlineStr">
        <is>
          <t>Correctness / persistence</t>
        </is>
      </c>
      <c r="F133" s="3" t="inlineStr">
        <is>
          <t>P0</t>
        </is>
      </c>
      <c r="G133" s="3" t="inlineStr">
        <is>
          <t>Use approved QA environment, required fixtures and authorized QA account; open the feature location. For access tests begin in stated signed-out state.</t>
        </is>
      </c>
      <c r="H133" s="3" t="inlineStr">
        <is>
          <t>QA-SIM</t>
        </is>
      </c>
      <c r="I133" s="3" t="inlineStr">
        <is>
          <t>Compare t-1 history and original saved run; inspect temporary effect expiration and overlapping valid events.</t>
        </is>
      </c>
      <c r="J133" s="3" t="inlineStr">
        <is>
          <t>Prior history/original baseline unchanged; resource availability and new branch run trace reconcile.</t>
        </is>
      </c>
      <c r="K133" s="3" t="inlineStr">
        <is>
          <t>Read-only; restore temporary QA filters/settings.</t>
        </is>
      </c>
      <c r="L133" s="3" t="inlineStr">
        <is>
          <t>frontend/src/app/components/simulation/scenarios.ts</t>
        </is>
      </c>
      <c r="M133" s="3" t="inlineStr">
        <is>
          <t>Not Run</t>
        </is>
      </c>
      <c r="N133" s="3" t="inlineStr"/>
      <c r="O133" s="3" t="inlineStr"/>
      <c r="P133" s="3" t="inlineStr"/>
      <c r="Q133" s="3" t="inlineStr"/>
      <c r="R133" s="3" t="inlineStr"/>
    </row>
    <row r="134" ht="110" customHeight="1">
      <c r="A134" s="2" t="inlineStr">
        <is>
          <t>TC-133</t>
        </is>
      </c>
      <c r="B134" s="2" t="inlineStr">
        <is>
          <t>F-045</t>
        </is>
      </c>
      <c r="C134" s="2" t="inlineStr">
        <is>
          <t>Injected Events</t>
        </is>
      </c>
      <c r="D134" s="2" t="inlineStr">
        <is>
          <t>Staff availability</t>
        </is>
      </c>
      <c r="E134" s="2" t="inlineStr">
        <is>
          <t>Parameterized effect validation</t>
        </is>
      </c>
      <c r="F134" s="2" t="inlineStr">
        <is>
          <t>P0</t>
        </is>
      </c>
      <c r="G134" s="2" t="inlineStr">
        <is>
          <t>Use approved QA environment, required fixtures and authorized QA account; open the feature location. For access tests begin in stated signed-out state.</t>
        </is>
      </c>
      <c r="H134" s="2" t="inlineStr">
        <is>
          <t>QA-SIM</t>
        </is>
      </c>
      <c r="I134" s="2" t="inlineStr">
        <is>
          <t>Use Event Parameters sheet for templates with effect staff. For each template start an independent seeded QA run with eligible future demand/resources; inject at minute120 using recorded defaults. Record one Event Execution row per template.</t>
        </is>
      </c>
      <c r="J134" s="2" t="inlineStr">
        <is>
          <t>Eligible simulated staff availability changes; service assignments, visible availability and resulting queues reflect trace. Record observed engine and UI evidence; zero eligible workload must not trigger fake impact.</t>
        </is>
      </c>
      <c r="K134" s="2" t="inlineStr">
        <is>
          <t>Each template gets a separate QA run; no actual business/resource mutation.</t>
        </is>
      </c>
      <c r="L134" s="2" t="inlineStr">
        <is>
          <t>frontend/src/app/components/simulation/scenarios.ts</t>
        </is>
      </c>
      <c r="M134" s="2" t="inlineStr">
        <is>
          <t>Not Run</t>
        </is>
      </c>
      <c r="N134" s="2" t="inlineStr"/>
      <c r="O134" s="2" t="inlineStr"/>
      <c r="P134" s="2" t="inlineStr"/>
      <c r="Q134" s="2" t="inlineStr"/>
      <c r="R134" s="2" t="inlineStr"/>
    </row>
    <row r="135" ht="110" customHeight="1">
      <c r="A135" s="3" t="inlineStr">
        <is>
          <t>TC-134</t>
        </is>
      </c>
      <c r="B135" s="3" t="inlineStr">
        <is>
          <t>F-045</t>
        </is>
      </c>
      <c r="C135" s="3" t="inlineStr">
        <is>
          <t>Injected Events</t>
        </is>
      </c>
      <c r="D135" s="3" t="inlineStr">
        <is>
          <t>Staff availability</t>
        </is>
      </c>
      <c r="E135" s="3" t="inlineStr">
        <is>
          <t>Isolation and recovery</t>
        </is>
      </c>
      <c r="F135" s="3" t="inlineStr">
        <is>
          <t>P0</t>
        </is>
      </c>
      <c r="G135" s="3" t="inlineStr">
        <is>
          <t>Use approved QA environment, required fixtures and authorized QA account; open the feature location. For access tests begin in stated signed-out state.</t>
        </is>
      </c>
      <c r="H135" s="3" t="inlineStr">
        <is>
          <t>QA-SIM</t>
        </is>
      </c>
      <c r="I135" s="3" t="inlineStr">
        <is>
          <t>For representative Staff availability event, compare baseline and t-1; inspect during/after configured effect, persisted event and saved output.</t>
        </is>
      </c>
      <c r="J135" s="3" t="inlineStr">
        <is>
          <t>Original run/baseline and earlier history unchanged; affected sector/audience scope correct; finite effects expire per rules, permanent stock deltas not spuriously reset.</t>
        </is>
      </c>
      <c r="K135" s="3" t="inlineStr">
        <is>
          <t>Each template gets a separate QA run; no actual business/resource mutation.</t>
        </is>
      </c>
      <c r="L135" s="3" t="inlineStr">
        <is>
          <t>frontend/src/app/components/simulation/scenarios.ts</t>
        </is>
      </c>
      <c r="M135" s="3" t="inlineStr">
        <is>
          <t>Not Run</t>
        </is>
      </c>
      <c r="N135" s="3" t="inlineStr"/>
      <c r="O135" s="3" t="inlineStr"/>
      <c r="P135" s="3" t="inlineStr"/>
      <c r="Q135" s="3" t="inlineStr"/>
      <c r="R135" s="3" t="inlineStr"/>
    </row>
    <row r="136" ht="110" customHeight="1">
      <c r="A136" s="2" t="inlineStr">
        <is>
          <t>TC-135</t>
        </is>
      </c>
      <c r="B136" s="2" t="inlineStr">
        <is>
          <t>F-046</t>
        </is>
      </c>
      <c r="C136" s="2" t="inlineStr">
        <is>
          <t>Injected Events</t>
        </is>
      </c>
      <c r="D136" s="2" t="inlineStr">
        <is>
          <t>Stations and equipment</t>
        </is>
      </c>
      <c r="E136" s="2" t="inlineStr">
        <is>
          <t>Parameterized effect validation</t>
        </is>
      </c>
      <c r="F136" s="2" t="inlineStr">
        <is>
          <t>P0</t>
        </is>
      </c>
      <c r="G136" s="2" t="inlineStr">
        <is>
          <t>Use approved QA environment, required fixtures and authorized QA account; open the feature location. For access tests begin in stated signed-out state.</t>
        </is>
      </c>
      <c r="H136" s="2" t="inlineStr">
        <is>
          <t>QA-SIM</t>
        </is>
      </c>
      <c r="I136" s="2" t="inlineStr">
        <is>
          <t>Use Event Parameters sheet for templates with effect stations. For each template start an independent seeded QA run with eligible future demand/resources; inject at minute120 using recorded defaults. Record one Event Execution row per template.</t>
        </is>
      </c>
      <c r="J136" s="2" t="inlineStr">
        <is>
          <t>Eligible station capacity changes; unavailable/backup stations and assignment decisions agree. Record observed engine and UI evidence; zero eligible workload must not trigger fake impact.</t>
        </is>
      </c>
      <c r="K136" s="2" t="inlineStr">
        <is>
          <t>Each template gets a separate QA run; no actual business/resource mutation.</t>
        </is>
      </c>
      <c r="L136" s="2" t="inlineStr">
        <is>
          <t>frontend/src/app/components/simulation/scenarios.ts</t>
        </is>
      </c>
      <c r="M136" s="2" t="inlineStr">
        <is>
          <t>Not Run</t>
        </is>
      </c>
      <c r="N136" s="2" t="inlineStr"/>
      <c r="O136" s="2" t="inlineStr"/>
      <c r="P136" s="2" t="inlineStr"/>
      <c r="Q136" s="2" t="inlineStr"/>
      <c r="R136" s="2" t="inlineStr"/>
    </row>
    <row r="137" ht="110" customHeight="1">
      <c r="A137" s="3" t="inlineStr">
        <is>
          <t>TC-136</t>
        </is>
      </c>
      <c r="B137" s="3" t="inlineStr">
        <is>
          <t>F-046</t>
        </is>
      </c>
      <c r="C137" s="3" t="inlineStr">
        <is>
          <t>Injected Events</t>
        </is>
      </c>
      <c r="D137" s="3" t="inlineStr">
        <is>
          <t>Stations and equipment</t>
        </is>
      </c>
      <c r="E137" s="3" t="inlineStr">
        <is>
          <t>Isolation and recovery</t>
        </is>
      </c>
      <c r="F137" s="3" t="inlineStr">
        <is>
          <t>P0</t>
        </is>
      </c>
      <c r="G137" s="3" t="inlineStr">
        <is>
          <t>Use approved QA environment, required fixtures and authorized QA account; open the feature location. For access tests begin in stated signed-out state.</t>
        </is>
      </c>
      <c r="H137" s="3" t="inlineStr">
        <is>
          <t>QA-SIM</t>
        </is>
      </c>
      <c r="I137" s="3" t="inlineStr">
        <is>
          <t>For representative Stations and equipment event, compare baseline and t-1; inspect during/after configured effect, persisted event and saved output.</t>
        </is>
      </c>
      <c r="J137" s="3" t="inlineStr">
        <is>
          <t>Original run/baseline and earlier history unchanged; affected sector/audience scope correct; finite effects expire per rules, permanent stock deltas not spuriously reset.</t>
        </is>
      </c>
      <c r="K137" s="3" t="inlineStr">
        <is>
          <t>Each template gets a separate QA run; no actual business/resource mutation.</t>
        </is>
      </c>
      <c r="L137" s="3" t="inlineStr">
        <is>
          <t>frontend/src/app/components/simulation/scenarios.ts</t>
        </is>
      </c>
      <c r="M137" s="3" t="inlineStr">
        <is>
          <t>Not Run</t>
        </is>
      </c>
      <c r="N137" s="3" t="inlineStr"/>
      <c r="O137" s="3" t="inlineStr"/>
      <c r="P137" s="3" t="inlineStr"/>
      <c r="Q137" s="3" t="inlineStr"/>
      <c r="R137" s="3" t="inlineStr"/>
    </row>
    <row r="138" ht="110" customHeight="1">
      <c r="A138" s="2" t="inlineStr">
        <is>
          <t>TC-137</t>
        </is>
      </c>
      <c r="B138" s="2" t="inlineStr">
        <is>
          <t>F-047</t>
        </is>
      </c>
      <c r="C138" s="2" t="inlineStr">
        <is>
          <t>Injected Events</t>
        </is>
      </c>
      <c r="D138" s="2" t="inlineStr">
        <is>
          <t>Facility closures</t>
        </is>
      </c>
      <c r="E138" s="2" t="inlineStr">
        <is>
          <t>Parameterized effect validation</t>
        </is>
      </c>
      <c r="F138" s="2" t="inlineStr">
        <is>
          <t>P0</t>
        </is>
      </c>
      <c r="G138" s="2" t="inlineStr">
        <is>
          <t>Use approved QA environment, required fixtures and authorized QA account; open the feature location. For access tests begin in stated signed-out state.</t>
        </is>
      </c>
      <c r="H138" s="2" t="inlineStr">
        <is>
          <t>QA-SIM</t>
        </is>
      </c>
      <c r="I138" s="2" t="inlineStr">
        <is>
          <t>Use Event Parameters sheet for templates with effect closure. For each template start an independent seeded QA run with eligible future demand/resources; inject at minute120 using recorded defaults. Record one Event Execution row per template.</t>
        </is>
      </c>
      <c r="J138" s="2" t="inlineStr">
        <is>
          <t>Affected area unavailable during event window; queue/service handling and reopening follow engine. Record observed engine and UI evidence; zero eligible workload must not trigger fake impact.</t>
        </is>
      </c>
      <c r="K138" s="2" t="inlineStr">
        <is>
          <t>Each template gets a separate QA run; no actual business/resource mutation.</t>
        </is>
      </c>
      <c r="L138" s="2" t="inlineStr">
        <is>
          <t>frontend/src/app/components/simulation/scenarios.ts</t>
        </is>
      </c>
      <c r="M138" s="2" t="inlineStr">
        <is>
          <t>Not Run</t>
        </is>
      </c>
      <c r="N138" s="2" t="inlineStr"/>
      <c r="O138" s="2" t="inlineStr"/>
      <c r="P138" s="2" t="inlineStr"/>
      <c r="Q138" s="2" t="inlineStr"/>
      <c r="R138" s="2" t="inlineStr"/>
    </row>
    <row r="139" ht="110" customHeight="1">
      <c r="A139" s="3" t="inlineStr">
        <is>
          <t>TC-138</t>
        </is>
      </c>
      <c r="B139" s="3" t="inlineStr">
        <is>
          <t>F-047</t>
        </is>
      </c>
      <c r="C139" s="3" t="inlineStr">
        <is>
          <t>Injected Events</t>
        </is>
      </c>
      <c r="D139" s="3" t="inlineStr">
        <is>
          <t>Facility closures</t>
        </is>
      </c>
      <c r="E139" s="3" t="inlineStr">
        <is>
          <t>Isolation and recovery</t>
        </is>
      </c>
      <c r="F139" s="3" t="inlineStr">
        <is>
          <t>P0</t>
        </is>
      </c>
      <c r="G139" s="3" t="inlineStr">
        <is>
          <t>Use approved QA environment, required fixtures and authorized QA account; open the feature location. For access tests begin in stated signed-out state.</t>
        </is>
      </c>
      <c r="H139" s="3" t="inlineStr">
        <is>
          <t>QA-SIM</t>
        </is>
      </c>
      <c r="I139" s="3" t="inlineStr">
        <is>
          <t>For representative Facility closures event, compare baseline and t-1; inspect during/after configured effect, persisted event and saved output.</t>
        </is>
      </c>
      <c r="J139" s="3" t="inlineStr">
        <is>
          <t>Original run/baseline and earlier history unchanged; affected sector/audience scope correct; finite effects expire per rules, permanent stock deltas not spuriously reset.</t>
        </is>
      </c>
      <c r="K139" s="3" t="inlineStr">
        <is>
          <t>Each template gets a separate QA run; no actual business/resource mutation.</t>
        </is>
      </c>
      <c r="L139" s="3" t="inlineStr">
        <is>
          <t>frontend/src/app/components/simulation/scenarios.ts</t>
        </is>
      </c>
      <c r="M139" s="3" t="inlineStr">
        <is>
          <t>Not Run</t>
        </is>
      </c>
      <c r="N139" s="3" t="inlineStr"/>
      <c r="O139" s="3" t="inlineStr"/>
      <c r="P139" s="3" t="inlineStr"/>
      <c r="Q139" s="3" t="inlineStr"/>
      <c r="R139" s="3" t="inlineStr"/>
    </row>
    <row r="140" ht="110" customHeight="1">
      <c r="A140" s="2" t="inlineStr">
        <is>
          <t>TC-139</t>
        </is>
      </c>
      <c r="B140" s="2" t="inlineStr">
        <is>
          <t>F-048</t>
        </is>
      </c>
      <c r="C140" s="2" t="inlineStr">
        <is>
          <t>Injected Events</t>
        </is>
      </c>
      <c r="D140" s="2" t="inlineStr">
        <is>
          <t>Inventory supply disruption/restock</t>
        </is>
      </c>
      <c r="E140" s="2" t="inlineStr">
        <is>
          <t>Parameterized effect validation</t>
        </is>
      </c>
      <c r="F140" s="2" t="inlineStr">
        <is>
          <t>P0</t>
        </is>
      </c>
      <c r="G140" s="2" t="inlineStr">
        <is>
          <t>Use approved QA environment, required fixtures and authorized QA account; open the feature location. For access tests begin in stated signed-out state.</t>
        </is>
      </c>
      <c r="H140" s="2" t="inlineStr">
        <is>
          <t>QA-SIM</t>
        </is>
      </c>
      <c r="I140" s="2" t="inlineStr">
        <is>
          <t>Use Event Parameters sheet for templates with effect inventory. For each template start an independent seeded QA run with eligible future demand/resources; inject at minute120 using recorded defaults. Record one Event Execution row per template.</t>
        </is>
      </c>
      <c r="J140" s="2" t="inlineStr">
        <is>
          <t>Simulated consumables change by recorded delta; service eligibility/shortages follow remaining supply. Record observed engine and UI evidence; zero eligible workload must not trigger fake impact.</t>
        </is>
      </c>
      <c r="K140" s="2" t="inlineStr">
        <is>
          <t>Each template gets a separate QA run; no actual business/resource mutation.</t>
        </is>
      </c>
      <c r="L140" s="2" t="inlineStr">
        <is>
          <t>frontend/src/app/components/simulation/scenarios.ts</t>
        </is>
      </c>
      <c r="M140" s="2" t="inlineStr">
        <is>
          <t>Not Run</t>
        </is>
      </c>
      <c r="N140" s="2" t="inlineStr"/>
      <c r="O140" s="2" t="inlineStr"/>
      <c r="P140" s="2" t="inlineStr"/>
      <c r="Q140" s="2" t="inlineStr"/>
      <c r="R140" s="2" t="inlineStr"/>
    </row>
    <row r="141" ht="110" customHeight="1">
      <c r="A141" s="3" t="inlineStr">
        <is>
          <t>TC-140</t>
        </is>
      </c>
      <c r="B141" s="3" t="inlineStr">
        <is>
          <t>F-048</t>
        </is>
      </c>
      <c r="C141" s="3" t="inlineStr">
        <is>
          <t>Injected Events</t>
        </is>
      </c>
      <c r="D141" s="3" t="inlineStr">
        <is>
          <t>Inventory supply disruption/restock</t>
        </is>
      </c>
      <c r="E141" s="3" t="inlineStr">
        <is>
          <t>Isolation and recovery</t>
        </is>
      </c>
      <c r="F141" s="3" t="inlineStr">
        <is>
          <t>P0</t>
        </is>
      </c>
      <c r="G141" s="3" t="inlineStr">
        <is>
          <t>Use approved QA environment, required fixtures and authorized QA account; open the feature location. For access tests begin in stated signed-out state.</t>
        </is>
      </c>
      <c r="H141" s="3" t="inlineStr">
        <is>
          <t>QA-SIM</t>
        </is>
      </c>
      <c r="I141" s="3" t="inlineStr">
        <is>
          <t>For representative Inventory supply disruption/restock event, compare baseline and t-1; inspect during/after configured effect, persisted event and saved output.</t>
        </is>
      </c>
      <c r="J141" s="3" t="inlineStr">
        <is>
          <t>Original run/baseline and earlier history unchanged; affected sector/audience scope correct; finite effects expire per rules, permanent stock deltas not spuriously reset.</t>
        </is>
      </c>
      <c r="K141" s="3" t="inlineStr">
        <is>
          <t>Each template gets a separate QA run; no actual business/resource mutation.</t>
        </is>
      </c>
      <c r="L141" s="3" t="inlineStr">
        <is>
          <t>frontend/src/app/components/simulation/scenarios.ts</t>
        </is>
      </c>
      <c r="M141" s="3" t="inlineStr">
        <is>
          <t>Not Run</t>
        </is>
      </c>
      <c r="N141" s="3" t="inlineStr"/>
      <c r="O141" s="3" t="inlineStr"/>
      <c r="P141" s="3" t="inlineStr"/>
      <c r="Q141" s="3" t="inlineStr"/>
      <c r="R141" s="3" t="inlineStr"/>
    </row>
    <row r="142" ht="110" customHeight="1">
      <c r="A142" s="2" t="inlineStr">
        <is>
          <t>TC-141</t>
        </is>
      </c>
      <c r="B142" s="2" t="inlineStr">
        <is>
          <t>F-049</t>
        </is>
      </c>
      <c r="C142" s="2" t="inlineStr">
        <is>
          <t>Injected Events</t>
        </is>
      </c>
      <c r="D142" s="2" t="inlineStr">
        <is>
          <t>Checkout and payment</t>
        </is>
      </c>
      <c r="E142" s="2" t="inlineStr">
        <is>
          <t>Parameterized effect validation</t>
        </is>
      </c>
      <c r="F142" s="2" t="inlineStr">
        <is>
          <t>P0</t>
        </is>
      </c>
      <c r="G142" s="2" t="inlineStr">
        <is>
          <t>Use approved QA environment, required fixtures and authorized QA account; open the feature location. For access tests begin in stated signed-out state.</t>
        </is>
      </c>
      <c r="H142" s="2" t="inlineStr">
        <is>
          <t>QA-SIM</t>
        </is>
      </c>
      <c r="I142" s="2" t="inlineStr">
        <is>
          <t>Use Event Parameters sheet for templates with effect checkout/paymentFailure. For each template start an independent seeded QA run with eligible future demand/resources; inject at minute120 using recorded defaults. Record one Event Execution row per template.</t>
        </is>
      </c>
      <c r="J142" s="2" t="inlineStr">
        <is>
          <t>Checkout duration/failure behavior changes for eligible transactions; revenue/loss follows actual seeded payment outcomes. Record observed engine and UI evidence; zero eligible workload must not trigger fake impact.</t>
        </is>
      </c>
      <c r="K142" s="2" t="inlineStr">
        <is>
          <t>Each template gets a separate QA run; no actual business/resource mutation.</t>
        </is>
      </c>
      <c r="L142" s="2" t="inlineStr">
        <is>
          <t>frontend/src/app/components/simulation/scenarios.ts</t>
        </is>
      </c>
      <c r="M142" s="2" t="inlineStr">
        <is>
          <t>Not Run</t>
        </is>
      </c>
      <c r="N142" s="2" t="inlineStr"/>
      <c r="O142" s="2" t="inlineStr"/>
      <c r="P142" s="2" t="inlineStr"/>
      <c r="Q142" s="2" t="inlineStr"/>
      <c r="R142" s="2" t="inlineStr"/>
    </row>
    <row r="143" ht="110" customHeight="1">
      <c r="A143" s="3" t="inlineStr">
        <is>
          <t>TC-142</t>
        </is>
      </c>
      <c r="B143" s="3" t="inlineStr">
        <is>
          <t>F-049</t>
        </is>
      </c>
      <c r="C143" s="3" t="inlineStr">
        <is>
          <t>Injected Events</t>
        </is>
      </c>
      <c r="D143" s="3" t="inlineStr">
        <is>
          <t>Checkout and payment</t>
        </is>
      </c>
      <c r="E143" s="3" t="inlineStr">
        <is>
          <t>Isolation and recovery</t>
        </is>
      </c>
      <c r="F143" s="3" t="inlineStr">
        <is>
          <t>P0</t>
        </is>
      </c>
      <c r="G143" s="3" t="inlineStr">
        <is>
          <t>Use approved QA environment, required fixtures and authorized QA account; open the feature location. For access tests begin in stated signed-out state.</t>
        </is>
      </c>
      <c r="H143" s="3" t="inlineStr">
        <is>
          <t>QA-SIM</t>
        </is>
      </c>
      <c r="I143" s="3" t="inlineStr">
        <is>
          <t>For representative Checkout and payment event, compare baseline and t-1; inspect during/after configured effect, persisted event and saved output.</t>
        </is>
      </c>
      <c r="J143" s="3" t="inlineStr">
        <is>
          <t>Original run/baseline and earlier history unchanged; affected sector/audience scope correct; finite effects expire per rules, permanent stock deltas not spuriously reset.</t>
        </is>
      </c>
      <c r="K143" s="3" t="inlineStr">
        <is>
          <t>Each template gets a separate QA run; no actual business/resource mutation.</t>
        </is>
      </c>
      <c r="L143" s="3" t="inlineStr">
        <is>
          <t>frontend/src/app/components/simulation/scenarios.ts</t>
        </is>
      </c>
      <c r="M143" s="3" t="inlineStr">
        <is>
          <t>Not Run</t>
        </is>
      </c>
      <c r="N143" s="3" t="inlineStr"/>
      <c r="O143" s="3" t="inlineStr"/>
      <c r="P143" s="3" t="inlineStr"/>
      <c r="Q143" s="3" t="inlineStr"/>
      <c r="R143" s="3" t="inlineStr"/>
    </row>
    <row r="144" ht="110" customHeight="1">
      <c r="A144" s="2" t="inlineStr">
        <is>
          <t>TC-143</t>
        </is>
      </c>
      <c r="B144" s="2" t="inlineStr">
        <is>
          <t>F-050</t>
        </is>
      </c>
      <c r="C144" s="2" t="inlineStr">
        <is>
          <t>Injected Events</t>
        </is>
      </c>
      <c r="D144" s="2" t="inlineStr">
        <is>
          <t>Demand surge or reduction</t>
        </is>
      </c>
      <c r="E144" s="2" t="inlineStr">
        <is>
          <t>Parameterized effect validation</t>
        </is>
      </c>
      <c r="F144" s="2" t="inlineStr">
        <is>
          <t>P0</t>
        </is>
      </c>
      <c r="G144" s="2" t="inlineStr">
        <is>
          <t>Use approved QA environment, required fixtures and authorized QA account; open the feature location. For access tests begin in stated signed-out state.</t>
        </is>
      </c>
      <c r="H144" s="2" t="inlineStr">
        <is>
          <t>QA-SIM</t>
        </is>
      </c>
      <c r="I144" s="2" t="inlineStr">
        <is>
          <t>Use Event Parameters sheet for templates with effect demand. For each template start an independent seeded QA run with eligible future demand/resources; inject at minute120 using recorded defaults. Record one Event Execution row per template.</t>
        </is>
      </c>
      <c r="J144" s="2" t="inlineStr">
        <is>
          <t>Eligible future arrival volume changes; visible new arrivals and counts match generated trace. Record observed engine and UI evidence; zero eligible workload must not trigger fake impact.</t>
        </is>
      </c>
      <c r="K144" s="2" t="inlineStr">
        <is>
          <t>Each template gets a separate QA run; no actual business/resource mutation.</t>
        </is>
      </c>
      <c r="L144" s="2" t="inlineStr">
        <is>
          <t>frontend/src/app/components/simulation/scenarios.ts</t>
        </is>
      </c>
      <c r="M144" s="2" t="inlineStr">
        <is>
          <t>Not Run</t>
        </is>
      </c>
      <c r="N144" s="2" t="inlineStr"/>
      <c r="O144" s="2" t="inlineStr"/>
      <c r="P144" s="2" t="inlineStr"/>
      <c r="Q144" s="2" t="inlineStr"/>
      <c r="R144" s="2" t="inlineStr"/>
    </row>
    <row r="145" ht="110" customHeight="1">
      <c r="A145" s="3" t="inlineStr">
        <is>
          <t>TC-144</t>
        </is>
      </c>
      <c r="B145" s="3" t="inlineStr">
        <is>
          <t>F-050</t>
        </is>
      </c>
      <c r="C145" s="3" t="inlineStr">
        <is>
          <t>Injected Events</t>
        </is>
      </c>
      <c r="D145" s="3" t="inlineStr">
        <is>
          <t>Demand surge or reduction</t>
        </is>
      </c>
      <c r="E145" s="3" t="inlineStr">
        <is>
          <t>Isolation and recovery</t>
        </is>
      </c>
      <c r="F145" s="3" t="inlineStr">
        <is>
          <t>P0</t>
        </is>
      </c>
      <c r="G145" s="3" t="inlineStr">
        <is>
          <t>Use approved QA environment, required fixtures and authorized QA account; open the feature location. For access tests begin in stated signed-out state.</t>
        </is>
      </c>
      <c r="H145" s="3" t="inlineStr">
        <is>
          <t>QA-SIM</t>
        </is>
      </c>
      <c r="I145" s="3" t="inlineStr">
        <is>
          <t>For representative Demand surge or reduction event, compare baseline and t-1; inspect during/after configured effect, persisted event and saved output.</t>
        </is>
      </c>
      <c r="J145" s="3" t="inlineStr">
        <is>
          <t>Original run/baseline and earlier history unchanged; affected sector/audience scope correct; finite effects expire per rules, permanent stock deltas not spuriously reset.</t>
        </is>
      </c>
      <c r="K145" s="3" t="inlineStr">
        <is>
          <t>Each template gets a separate QA run; no actual business/resource mutation.</t>
        </is>
      </c>
      <c r="L145" s="3" t="inlineStr">
        <is>
          <t>frontend/src/app/components/simulation/scenarios.ts</t>
        </is>
      </c>
      <c r="M145" s="3" t="inlineStr">
        <is>
          <t>Not Run</t>
        </is>
      </c>
      <c r="N145" s="3" t="inlineStr"/>
      <c r="O145" s="3" t="inlineStr"/>
      <c r="P145" s="3" t="inlineStr"/>
      <c r="Q145" s="3" t="inlineStr"/>
      <c r="R145" s="3" t="inlineStr"/>
    </row>
    <row r="146" ht="110" customHeight="1">
      <c r="A146" s="2" t="inlineStr">
        <is>
          <t>TC-145</t>
        </is>
      </c>
      <c r="B146" s="2" t="inlineStr">
        <is>
          <t>F-051</t>
        </is>
      </c>
      <c r="C146" s="2" t="inlineStr">
        <is>
          <t>Injected Events</t>
        </is>
      </c>
      <c r="D146" s="2" t="inlineStr">
        <is>
          <t>Service handling and delays</t>
        </is>
      </c>
      <c r="E146" s="2" t="inlineStr">
        <is>
          <t>Parameterized effect validation</t>
        </is>
      </c>
      <c r="F146" s="2" t="inlineStr">
        <is>
          <t>P0</t>
        </is>
      </c>
      <c r="G146" s="2" t="inlineStr">
        <is>
          <t>Use approved QA environment, required fixtures and authorized QA account; open the feature location. For access tests begin in stated signed-out state.</t>
        </is>
      </c>
      <c r="H146" s="2" t="inlineStr">
        <is>
          <t>QA-SIM</t>
        </is>
      </c>
      <c r="I146" s="2" t="inlineStr">
        <is>
          <t>Use Event Parameters sheet for templates with effect duration. For each template start an independent seeded QA run with eligible future demand/resources; inject at minute120 using recorded defaults. Record one Event Execution row per template.</t>
        </is>
      </c>
      <c r="J146" s="2" t="inlineStr">
        <is>
          <t>Eligible service durations/progress/completions reflect multiplier; no retroactive completion shift. Record observed engine and UI evidence; zero eligible workload must not trigger fake impact.</t>
        </is>
      </c>
      <c r="K146" s="2" t="inlineStr">
        <is>
          <t>Each template gets a separate QA run; no actual business/resource mutation.</t>
        </is>
      </c>
      <c r="L146" s="2" t="inlineStr">
        <is>
          <t>frontend/src/app/components/simulation/scenarios.ts</t>
        </is>
      </c>
      <c r="M146" s="2" t="inlineStr">
        <is>
          <t>Not Run</t>
        </is>
      </c>
      <c r="N146" s="2" t="inlineStr"/>
      <c r="O146" s="2" t="inlineStr"/>
      <c r="P146" s="2" t="inlineStr"/>
      <c r="Q146" s="2" t="inlineStr"/>
      <c r="R146" s="2" t="inlineStr"/>
    </row>
    <row r="147" ht="110" customHeight="1">
      <c r="A147" s="3" t="inlineStr">
        <is>
          <t>TC-146</t>
        </is>
      </c>
      <c r="B147" s="3" t="inlineStr">
        <is>
          <t>F-051</t>
        </is>
      </c>
      <c r="C147" s="3" t="inlineStr">
        <is>
          <t>Injected Events</t>
        </is>
      </c>
      <c r="D147" s="3" t="inlineStr">
        <is>
          <t>Service handling and delays</t>
        </is>
      </c>
      <c r="E147" s="3" t="inlineStr">
        <is>
          <t>Isolation and recovery</t>
        </is>
      </c>
      <c r="F147" s="3" t="inlineStr">
        <is>
          <t>P0</t>
        </is>
      </c>
      <c r="G147" s="3" t="inlineStr">
        <is>
          <t>Use approved QA environment, required fixtures and authorized QA account; open the feature location. For access tests begin in stated signed-out state.</t>
        </is>
      </c>
      <c r="H147" s="3" t="inlineStr">
        <is>
          <t>QA-SIM</t>
        </is>
      </c>
      <c r="I147" s="3" t="inlineStr">
        <is>
          <t>For representative Service handling and delays event, compare baseline and t-1; inspect during/after configured effect, persisted event and saved output.</t>
        </is>
      </c>
      <c r="J147" s="3" t="inlineStr">
        <is>
          <t>Original run/baseline and earlier history unchanged; affected sector/audience scope correct; finite effects expire per rules, permanent stock deltas not spuriously reset.</t>
        </is>
      </c>
      <c r="K147" s="3" t="inlineStr">
        <is>
          <t>Each template gets a separate QA run; no actual business/resource mutation.</t>
        </is>
      </c>
      <c r="L147" s="3" t="inlineStr">
        <is>
          <t>frontend/src/app/components/simulation/scenarios.ts</t>
        </is>
      </c>
      <c r="M147" s="3" t="inlineStr">
        <is>
          <t>Not Run</t>
        </is>
      </c>
      <c r="N147" s="3" t="inlineStr"/>
      <c r="O147" s="3" t="inlineStr"/>
      <c r="P147" s="3" t="inlineStr"/>
      <c r="Q147" s="3" t="inlineStr"/>
      <c r="R147" s="3" t="inlineStr"/>
    </row>
    <row r="148" ht="110" customHeight="1">
      <c r="A148" s="2" t="inlineStr">
        <is>
          <t>TC-147</t>
        </is>
      </c>
      <c r="B148" s="2" t="inlineStr">
        <is>
          <t>F-052</t>
        </is>
      </c>
      <c r="C148" s="2" t="inlineStr">
        <is>
          <t>Injected Events</t>
        </is>
      </c>
      <c r="D148" s="2" t="inlineStr">
        <is>
          <t>Appointment cancellation/no-show/lateness</t>
        </is>
      </c>
      <c r="E148" s="2" t="inlineStr">
        <is>
          <t>Parameterized effect validation</t>
        </is>
      </c>
      <c r="F148" s="2" t="inlineStr">
        <is>
          <t>P0</t>
        </is>
      </c>
      <c r="G148" s="2" t="inlineStr">
        <is>
          <t>Use approved QA environment, required fixtures and authorized QA account; open the feature location. For access tests begin in stated signed-out state.</t>
        </is>
      </c>
      <c r="H148" s="2" t="inlineStr">
        <is>
          <t>QA-SIM</t>
        </is>
      </c>
      <c r="I148" s="2" t="inlineStr">
        <is>
          <t>Use Event Parameters sheet for templates with effect cancel/noShow/late. For each template start an independent seeded QA run with eligible future demand/resources; inject at minute120 using recorded defaults. Record one Event Execution row per template.</t>
        </is>
      </c>
      <c r="J148" s="2" t="inlineStr">
        <is>
          <t>Eligible appointments follow cancellation/no-show/late rules; absent/cancelled customers not counted as served. Record observed engine and UI evidence; zero eligible workload must not trigger fake impact.</t>
        </is>
      </c>
      <c r="K148" s="2" t="inlineStr">
        <is>
          <t>Each template gets a separate QA run; no actual business/resource mutation.</t>
        </is>
      </c>
      <c r="L148" s="2" t="inlineStr">
        <is>
          <t>frontend/src/app/components/simulation/scenarios.ts</t>
        </is>
      </c>
      <c r="M148" s="2" t="inlineStr">
        <is>
          <t>Not Run</t>
        </is>
      </c>
      <c r="N148" s="2" t="inlineStr"/>
      <c r="O148" s="2" t="inlineStr"/>
      <c r="P148" s="2" t="inlineStr"/>
      <c r="Q148" s="2" t="inlineStr"/>
      <c r="R148" s="2" t="inlineStr"/>
    </row>
    <row r="149" ht="110" customHeight="1">
      <c r="A149" s="3" t="inlineStr">
        <is>
          <t>TC-148</t>
        </is>
      </c>
      <c r="B149" s="3" t="inlineStr">
        <is>
          <t>F-052</t>
        </is>
      </c>
      <c r="C149" s="3" t="inlineStr">
        <is>
          <t>Injected Events</t>
        </is>
      </c>
      <c r="D149" s="3" t="inlineStr">
        <is>
          <t>Appointment cancellation/no-show/lateness</t>
        </is>
      </c>
      <c r="E149" s="3" t="inlineStr">
        <is>
          <t>Isolation and recovery</t>
        </is>
      </c>
      <c r="F149" s="3" t="inlineStr">
        <is>
          <t>P0</t>
        </is>
      </c>
      <c r="G149" s="3" t="inlineStr">
        <is>
          <t>Use approved QA environment, required fixtures and authorized QA account; open the feature location. For access tests begin in stated signed-out state.</t>
        </is>
      </c>
      <c r="H149" s="3" t="inlineStr">
        <is>
          <t>QA-SIM</t>
        </is>
      </c>
      <c r="I149" s="3" t="inlineStr">
        <is>
          <t>For representative Appointment cancellation/no-show/lateness event, compare baseline and t-1; inspect during/after configured effect, persisted event and saved output.</t>
        </is>
      </c>
      <c r="J149" s="3" t="inlineStr">
        <is>
          <t>Original run/baseline and earlier history unchanged; affected sector/audience scope correct; finite effects expire per rules, permanent stock deltas not spuriously reset.</t>
        </is>
      </c>
      <c r="K149" s="3" t="inlineStr">
        <is>
          <t>Each template gets a separate QA run; no actual business/resource mutation.</t>
        </is>
      </c>
      <c r="L149" s="3" t="inlineStr">
        <is>
          <t>frontend/src/app/components/simulation/scenarios.ts</t>
        </is>
      </c>
      <c r="M149" s="3" t="inlineStr">
        <is>
          <t>Not Run</t>
        </is>
      </c>
      <c r="N149" s="3" t="inlineStr"/>
      <c r="O149" s="3" t="inlineStr"/>
      <c r="P149" s="3" t="inlineStr"/>
      <c r="Q149" s="3" t="inlineStr"/>
      <c r="R149" s="3" t="inlineStr"/>
    </row>
    <row r="150" ht="110" customHeight="1">
      <c r="A150" s="2" t="inlineStr">
        <is>
          <t>TC-149</t>
        </is>
      </c>
      <c r="B150" s="2" t="inlineStr">
        <is>
          <t>F-053</t>
        </is>
      </c>
      <c r="C150" s="2" t="inlineStr">
        <is>
          <t>Operations What-If</t>
        </is>
      </c>
      <c r="D150" s="2" t="inlineStr">
        <is>
          <t>Baseline versus What-If comparison</t>
        </is>
      </c>
      <c r="E150" s="2" t="inlineStr">
        <is>
          <t>Successful workflow</t>
        </is>
      </c>
      <c r="F150" s="2" t="inlineStr">
        <is>
          <t>P0</t>
        </is>
      </c>
      <c r="G150" s="2" t="inlineStr">
        <is>
          <t>Use approved QA environment, required fixtures and authorized QA account; open the feature location. For access tests begin in stated signed-out state.</t>
        </is>
      </c>
      <c r="H150" s="2" t="inlineStr">
        <is>
          <t>QA-SIM</t>
        </is>
      </c>
      <c r="I150" s="2" t="inlineStr">
        <is>
          <t>Run matched scenarios; view baseline/What-If and split floors; inspect results.</t>
        </is>
      </c>
      <c r="J150" s="2" t="inlineStr">
        <is>
          <t>Correct scenario labels, shared clock/seed context and metric comparisons.</t>
        </is>
      </c>
      <c r="K150" s="2" t="inlineStr">
        <is>
          <t>Read-only; restore temporary QA filters/settings.</t>
        </is>
      </c>
      <c r="L150" s="2" t="inlineStr">
        <is>
          <t>frontend/src/app/components/simulation/OperationsWhatIf.tsx</t>
        </is>
      </c>
      <c r="M150" s="2" t="inlineStr">
        <is>
          <t>Not Run</t>
        </is>
      </c>
      <c r="N150" s="2" t="inlineStr"/>
      <c r="O150" s="2" t="inlineStr"/>
      <c r="P150" s="2" t="inlineStr"/>
      <c r="Q150" s="2" t="inlineStr"/>
      <c r="R150" s="2" t="inlineStr"/>
    </row>
    <row r="151" ht="110" customHeight="1">
      <c r="A151" s="3" t="inlineStr">
        <is>
          <t>TC-150</t>
        </is>
      </c>
      <c r="B151" s="3" t="inlineStr">
        <is>
          <t>F-053</t>
        </is>
      </c>
      <c r="C151" s="3" t="inlineStr">
        <is>
          <t>Operations What-If</t>
        </is>
      </c>
      <c r="D151" s="3" t="inlineStr">
        <is>
          <t>Baseline versus What-If comparison</t>
        </is>
      </c>
      <c r="E151" s="3" t="inlineStr">
        <is>
          <t>Validation / failure handling</t>
        </is>
      </c>
      <c r="F151" s="3" t="inlineStr">
        <is>
          <t>P0</t>
        </is>
      </c>
      <c r="G151" s="3" t="inlineStr">
        <is>
          <t>Use approved QA environment, required fixtures and authorized QA account; open the feature location. For access tests begin in stated signed-out state.</t>
        </is>
      </c>
      <c r="H151" s="3" t="inlineStr">
        <is>
          <t>QA-SIM</t>
        </is>
      </c>
      <c r="I151" s="3" t="inlineStr">
        <is>
          <t>Use zero baseline metrics and compare an independently saved run.</t>
        </is>
      </c>
      <c r="J151" s="3" t="inlineStr">
        <is>
          <t>Undefined percent handled; unmatched context clearly disclosed, not silently treated matched.</t>
        </is>
      </c>
      <c r="K151" s="3" t="inlineStr">
        <is>
          <t>Read-only; restore temporary QA filters/settings.</t>
        </is>
      </c>
      <c r="L151" s="3" t="inlineStr">
        <is>
          <t>frontend/src/app/components/simulation/OperationsWhatIf.tsx</t>
        </is>
      </c>
      <c r="M151" s="3" t="inlineStr">
        <is>
          <t>Not Run</t>
        </is>
      </c>
      <c r="N151" s="3" t="inlineStr"/>
      <c r="O151" s="3" t="inlineStr"/>
      <c r="P151" s="3" t="inlineStr"/>
      <c r="Q151" s="3" t="inlineStr"/>
      <c r="R151" s="3" t="inlineStr"/>
    </row>
    <row r="152" ht="110" customHeight="1">
      <c r="A152" s="2" t="inlineStr">
        <is>
          <t>TC-151</t>
        </is>
      </c>
      <c r="B152" s="2" t="inlineStr">
        <is>
          <t>F-053</t>
        </is>
      </c>
      <c r="C152" s="2" t="inlineStr">
        <is>
          <t>Operations What-If</t>
        </is>
      </c>
      <c r="D152" s="2" t="inlineStr">
        <is>
          <t>Baseline versus What-If comparison</t>
        </is>
      </c>
      <c r="E152" s="2" t="inlineStr">
        <is>
          <t>Correctness / persistence</t>
        </is>
      </c>
      <c r="F152" s="2" t="inlineStr">
        <is>
          <t>P0</t>
        </is>
      </c>
      <c r="G152" s="2" t="inlineStr">
        <is>
          <t>Use approved QA environment, required fixtures and authorized QA account; open the feature location. For access tests begin in stated signed-out state.</t>
        </is>
      </c>
      <c r="H152" s="2" t="inlineStr">
        <is>
          <t>QA-SIM</t>
        </is>
      </c>
      <c r="I152" s="2" t="inlineStr">
        <is>
          <t>Calculate wait/queue/served/revenue/satisfaction deltas from saved results; switch back to matched baseline.</t>
        </is>
      </c>
      <c r="J152" s="2" t="inlineStr">
        <is>
          <t>Deltas and percentage/point units accurate; explanation supported by actual trace.</t>
        </is>
      </c>
      <c r="K152" s="2" t="inlineStr">
        <is>
          <t>Read-only; restore temporary QA filters/settings.</t>
        </is>
      </c>
      <c r="L152" s="2" t="inlineStr">
        <is>
          <t>frontend/src/app/components/simulation/OperationsWhatIf.tsx</t>
        </is>
      </c>
      <c r="M152" s="2" t="inlineStr">
        <is>
          <t>Not Run</t>
        </is>
      </c>
      <c r="N152" s="2" t="inlineStr"/>
      <c r="O152" s="2" t="inlineStr"/>
      <c r="P152" s="2" t="inlineStr"/>
      <c r="Q152" s="2" t="inlineStr"/>
      <c r="R152" s="2" t="inlineStr"/>
    </row>
    <row r="153" ht="110" customHeight="1">
      <c r="A153" s="3" t="inlineStr">
        <is>
          <t>TC-152</t>
        </is>
      </c>
      <c r="B153" s="3" t="inlineStr">
        <is>
          <t>F-054</t>
        </is>
      </c>
      <c r="C153" s="3" t="inlineStr">
        <is>
          <t>Operations What-If</t>
        </is>
      </c>
      <c r="D153" s="3" t="inlineStr">
        <is>
          <t>Saved runs, export and reproducibility</t>
        </is>
      </c>
      <c r="E153" s="3" t="inlineStr">
        <is>
          <t>Successful workflow</t>
        </is>
      </c>
      <c r="F153" s="3" t="inlineStr">
        <is>
          <t>P0</t>
        </is>
      </c>
      <c r="G153" s="3" t="inlineStr">
        <is>
          <t>Use approved QA environment, required fixtures and authorized QA account; open the feature location. For access tests begin in stated signed-out state.</t>
        </is>
      </c>
      <c r="H153" s="3" t="inlineStr">
        <is>
          <t>QA-SIM</t>
        </is>
      </c>
      <c r="I153" s="3" t="inlineStr">
        <is>
          <t>Run QA simulation; reopen from history; compare another saved run; export parameters/events/results.</t>
        </is>
      </c>
      <c r="J153" s="3" t="inlineStr">
        <is>
          <t>Correct saved run and config/metrics loaded; export valid and complete.</t>
        </is>
      </c>
      <c r="K153" s="3" t="inlineStr">
        <is>
          <t>Read-only; restore temporary QA filters/settings.</t>
        </is>
      </c>
      <c r="L153" s="3" t="inlineStr">
        <is>
          <t>frontend/src/app/components/simulation/OperationsWhatIf.tsx</t>
        </is>
      </c>
      <c r="M153" s="3" t="inlineStr">
        <is>
          <t>Not Run</t>
        </is>
      </c>
      <c r="N153" s="3" t="inlineStr"/>
      <c r="O153" s="3" t="inlineStr"/>
      <c r="P153" s="3" t="inlineStr"/>
      <c r="Q153" s="3" t="inlineStr"/>
      <c r="R153" s="3" t="inlineStr"/>
    </row>
    <row r="154" ht="110" customHeight="1">
      <c r="A154" s="2" t="inlineStr">
        <is>
          <t>TC-153</t>
        </is>
      </c>
      <c r="B154" s="2" t="inlineStr">
        <is>
          <t>F-054</t>
        </is>
      </c>
      <c r="C154" s="2" t="inlineStr">
        <is>
          <t>Operations What-If</t>
        </is>
      </c>
      <c r="D154" s="2" t="inlineStr">
        <is>
          <t>Saved runs, export and reproducibility</t>
        </is>
      </c>
      <c r="E154" s="2" t="inlineStr">
        <is>
          <t>Validation / failure handling</t>
        </is>
      </c>
      <c r="F154" s="2" t="inlineStr">
        <is>
          <t>P0</t>
        </is>
      </c>
      <c r="G154" s="2" t="inlineStr">
        <is>
          <t>Use approved QA environment, required fixtures and authorized QA account; open the feature location. For access tests begin in stated signed-out state.</t>
        </is>
      </c>
      <c r="H154" s="2" t="inlineStr">
        <is>
          <t>QA-SIM</t>
        </is>
      </c>
      <c r="I154" s="2" t="inlineStr">
        <is>
          <t>Test empty/failed history, failed run save and unsupported older engine injection.</t>
        </is>
      </c>
      <c r="J154" s="2" t="inlineStr">
        <is>
          <t>Honest error/compatibility limits; original run retained; no silent recomputation as a new engine.</t>
        </is>
      </c>
      <c r="K154" s="2" t="inlineStr">
        <is>
          <t>Read-only; restore temporary QA filters/settings.</t>
        </is>
      </c>
      <c r="L154" s="2" t="inlineStr">
        <is>
          <t>frontend/src/app/components/simulation/OperationsWhatIf.tsx</t>
        </is>
      </c>
      <c r="M154" s="2" t="inlineStr">
        <is>
          <t>Not Run</t>
        </is>
      </c>
      <c r="N154" s="2" t="inlineStr"/>
      <c r="O154" s="2" t="inlineStr"/>
      <c r="P154" s="2" t="inlineStr"/>
      <c r="Q154" s="2" t="inlineStr"/>
      <c r="R154" s="2" t="inlineStr"/>
    </row>
    <row r="155" ht="110" customHeight="1">
      <c r="A155" s="3" t="inlineStr">
        <is>
          <t>TC-154</t>
        </is>
      </c>
      <c r="B155" s="3" t="inlineStr">
        <is>
          <t>F-054</t>
        </is>
      </c>
      <c r="C155" s="3" t="inlineStr">
        <is>
          <t>Operations What-If</t>
        </is>
      </c>
      <c r="D155" s="3" t="inlineStr">
        <is>
          <t>Saved runs, export and reproducibility</t>
        </is>
      </c>
      <c r="E155" s="3" t="inlineStr">
        <is>
          <t>Correctness / persistence</t>
        </is>
      </c>
      <c r="F155" s="3" t="inlineStr">
        <is>
          <t>P0</t>
        </is>
      </c>
      <c r="G155" s="3" t="inlineStr">
        <is>
          <t>Use approved QA environment, required fixtures and authorized QA account; open the feature location. For access tests begin in stated signed-out state.</t>
        </is>
      </c>
      <c r="H155" s="3" t="inlineStr">
        <is>
          <t>QA-SIM</t>
        </is>
      </c>
      <c r="I155" s="3" t="inlineStr">
        <is>
          <t>Compare reopened/exported run IDs, seed, engine version, event timing and results.</t>
        </is>
      </c>
      <c r="J155" s="3" t="inlineStr">
        <is>
          <t>Exact saved scenario preserved; ownership enforced; no secrets in export.</t>
        </is>
      </c>
      <c r="K155" s="3" t="inlineStr">
        <is>
          <t>Read-only; restore temporary QA filters/settings.</t>
        </is>
      </c>
      <c r="L155" s="3" t="inlineStr">
        <is>
          <t>frontend/src/app/components/simulation/OperationsWhatIf.tsx</t>
        </is>
      </c>
      <c r="M155" s="3" t="inlineStr">
        <is>
          <t>Not Run</t>
        </is>
      </c>
      <c r="N155" s="3" t="inlineStr"/>
      <c r="O155" s="3" t="inlineStr"/>
      <c r="P155" s="3" t="inlineStr"/>
      <c r="Q155" s="3" t="inlineStr"/>
      <c r="R155" s="3" t="inlineStr"/>
    </row>
    <row r="156" ht="110" customHeight="1">
      <c r="A156" s="2" t="inlineStr">
        <is>
          <t>TC-155</t>
        </is>
      </c>
      <c r="B156" s="2" t="inlineStr">
        <is>
          <t>F-055</t>
        </is>
      </c>
      <c r="C156" s="2" t="inlineStr">
        <is>
          <t>Scenario Builder</t>
        </is>
      </c>
      <c r="D156" s="2" t="inlineStr">
        <is>
          <t>Forecast scenario builder</t>
        </is>
      </c>
      <c r="E156" s="2" t="inlineStr">
        <is>
          <t>Successful workflow</t>
        </is>
      </c>
      <c r="F156" s="2" t="inlineStr">
        <is>
          <t>P1</t>
        </is>
      </c>
      <c r="G156" s="2" t="inlineStr">
        <is>
          <t>Use approved QA environment, required fixtures and authorized QA account; open the feature location. For access tests begin in stated signed-out state.</t>
        </is>
      </c>
      <c r="H156" s="2" t="inlineStr">
        <is>
          <t>QA-FORECAST</t>
        </is>
      </c>
      <c r="I156" s="2" t="inlineStr">
        <is>
          <t>Create named QA scenario; choose day/weather/temp/promo/payday; Update Predictions.</t>
        </is>
      </c>
      <c r="J156" s="2" t="inlineStr">
        <is>
          <t>Output and explanation tied to current assumptions; modeled values labeled.</t>
        </is>
      </c>
      <c r="K156" s="2" t="inlineStr">
        <is>
          <t>Read-only; restore temporary QA filters/settings.</t>
        </is>
      </c>
      <c r="L156" s="2" t="inlineStr">
        <is>
          <t>frontend/src/app/pages/AISimulation.tsx</t>
        </is>
      </c>
      <c r="M156" s="2" t="inlineStr">
        <is>
          <t>Not Run</t>
        </is>
      </c>
      <c r="N156" s="2" t="inlineStr"/>
      <c r="O156" s="2" t="inlineStr"/>
      <c r="P156" s="2" t="inlineStr"/>
      <c r="Q156" s="2" t="inlineStr"/>
      <c r="R156" s="2" t="inlineStr"/>
    </row>
    <row r="157" ht="110" customHeight="1">
      <c r="A157" s="3" t="inlineStr">
        <is>
          <t>TC-156</t>
        </is>
      </c>
      <c r="B157" s="3" t="inlineStr">
        <is>
          <t>F-055</t>
        </is>
      </c>
      <c r="C157" s="3" t="inlineStr">
        <is>
          <t>Scenario Builder</t>
        </is>
      </c>
      <c r="D157" s="3" t="inlineStr">
        <is>
          <t>Forecast scenario builder</t>
        </is>
      </c>
      <c r="E157" s="3" t="inlineStr">
        <is>
          <t>Validation / failure handling</t>
        </is>
      </c>
      <c r="F157" s="3" t="inlineStr">
        <is>
          <t>P1</t>
        </is>
      </c>
      <c r="G157" s="3" t="inlineStr">
        <is>
          <t>Use approved QA environment, required fixtures and authorized QA account; open the feature location. For access tests begin in stated signed-out state.</t>
        </is>
      </c>
      <c r="H157" s="3" t="inlineStr">
        <is>
          <t>QA-FORECAST</t>
        </is>
      </c>
      <c r="I157" s="3" t="inlineStr">
        <is>
          <t>Try invalid/empty input as permitted and fail prediction request.</t>
        </is>
      </c>
      <c r="J157" s="3" t="inlineStr">
        <is>
          <t>Validation/errors clear; prior result not mislabeled new; no false success.</t>
        </is>
      </c>
      <c r="K157" s="3" t="inlineStr">
        <is>
          <t>Read-only; restore temporary QA filters/settings.</t>
        </is>
      </c>
      <c r="L157" s="3" t="inlineStr">
        <is>
          <t>frontend/src/app/pages/AISimulation.tsx</t>
        </is>
      </c>
      <c r="M157" s="3" t="inlineStr">
        <is>
          <t>Not Run</t>
        </is>
      </c>
      <c r="N157" s="3" t="inlineStr"/>
      <c r="O157" s="3" t="inlineStr"/>
      <c r="P157" s="3" t="inlineStr"/>
      <c r="Q157" s="3" t="inlineStr"/>
      <c r="R157" s="3" t="inlineStr"/>
    </row>
    <row r="158" ht="110" customHeight="1">
      <c r="A158" s="2" t="inlineStr">
        <is>
          <t>TC-157</t>
        </is>
      </c>
      <c r="B158" s="2" t="inlineStr">
        <is>
          <t>F-055</t>
        </is>
      </c>
      <c r="C158" s="2" t="inlineStr">
        <is>
          <t>Scenario Builder</t>
        </is>
      </c>
      <c r="D158" s="2" t="inlineStr">
        <is>
          <t>Forecast scenario builder</t>
        </is>
      </c>
      <c r="E158" s="2" t="inlineStr">
        <is>
          <t>Correctness / persistence</t>
        </is>
      </c>
      <c r="F158" s="2" t="inlineStr">
        <is>
          <t>P1</t>
        </is>
      </c>
      <c r="G158" s="2" t="inlineStr">
        <is>
          <t>Use approved QA environment, required fixtures and authorized QA account; open the feature location. For access tests begin in stated signed-out state.</t>
        </is>
      </c>
      <c r="H158" s="2" t="inlineStr">
        <is>
          <t>QA-FORECAST</t>
        </is>
      </c>
      <c r="I158" s="2" t="inlineStr">
        <is>
          <t>Compare request/output assumptions and baseline before/after scenario.</t>
        </is>
      </c>
      <c r="J158" s="2" t="inlineStr">
        <is>
          <t>Actual sales/calendar/weather remain unchanged; scenario metadata accurate.</t>
        </is>
      </c>
      <c r="K158" s="2" t="inlineStr">
        <is>
          <t>Read-only; restore temporary QA filters/settings.</t>
        </is>
      </c>
      <c r="L158" s="2" t="inlineStr">
        <is>
          <t>frontend/src/app/pages/AISimulation.tsx</t>
        </is>
      </c>
      <c r="M158" s="2" t="inlineStr">
        <is>
          <t>Not Run</t>
        </is>
      </c>
      <c r="N158" s="2" t="inlineStr"/>
      <c r="O158" s="2" t="inlineStr"/>
      <c r="P158" s="2" t="inlineStr"/>
      <c r="Q158" s="2" t="inlineStr"/>
      <c r="R158" s="2" t="inlineStr"/>
    </row>
    <row r="159" ht="110" customHeight="1">
      <c r="A159" s="3" t="inlineStr">
        <is>
          <t>TC-158</t>
        </is>
      </c>
      <c r="B159" s="3" t="inlineStr">
        <is>
          <t>F-056</t>
        </is>
      </c>
      <c r="C159" s="3" t="inlineStr">
        <is>
          <t>Activation Layer</t>
        </is>
      </c>
      <c r="D159" s="3" t="inlineStr">
        <is>
          <t>Campaign asset generation and lifecycle</t>
        </is>
      </c>
      <c r="E159" s="3" t="inlineStr">
        <is>
          <t>Successful workflow</t>
        </is>
      </c>
      <c r="F159" s="3" t="inlineStr">
        <is>
          <t>P1</t>
        </is>
      </c>
      <c r="G159" s="3" t="inlineStr">
        <is>
          <t>Use approved QA environment, required fixtures and authorized QA account; open the feature location. For access tests begin in stated signed-out state.</t>
        </is>
      </c>
      <c r="H159" s="3" t="inlineStr">
        <is>
          <t>QA-CAMPAIGN</t>
        </is>
      </c>
      <c r="I159" s="3" t="inlineStr">
        <is>
          <t>Generate assets from QA recommendation; inspect saved campaign; approve/queue; publish only to authorized QA destination.</t>
        </is>
      </c>
      <c r="J159" s="3" t="inlineStr">
        <is>
          <t>Assets linked to correct recommendation; lifecycle state reflects confirmed operations.</t>
        </is>
      </c>
      <c r="K159" s="3" t="inlineStr">
        <is>
          <t>External side effects: approved QA destination only; otherwise mark publication Blocked.</t>
        </is>
      </c>
      <c r="L159" s="3" t="inlineStr">
        <is>
          <t>frontend/src/app/components/CampaignActivationLayer.tsx</t>
        </is>
      </c>
      <c r="M159" s="3" t="inlineStr">
        <is>
          <t>Not Run</t>
        </is>
      </c>
      <c r="N159" s="3" t="inlineStr"/>
      <c r="O159" s="3" t="inlineStr"/>
      <c r="P159" s="3" t="inlineStr"/>
      <c r="Q159" s="3" t="inlineStr"/>
      <c r="R159" s="3" t="inlineStr"/>
    </row>
    <row r="160" ht="110" customHeight="1">
      <c r="A160" s="2" t="inlineStr">
        <is>
          <t>TC-159</t>
        </is>
      </c>
      <c r="B160" s="2" t="inlineStr">
        <is>
          <t>F-056</t>
        </is>
      </c>
      <c r="C160" s="2" t="inlineStr">
        <is>
          <t>Activation Layer</t>
        </is>
      </c>
      <c r="D160" s="2" t="inlineStr">
        <is>
          <t>Campaign asset generation and lifecycle</t>
        </is>
      </c>
      <c r="E160" s="2" t="inlineStr">
        <is>
          <t>Validation / failure handling</t>
        </is>
      </c>
      <c r="F160" s="2" t="inlineStr">
        <is>
          <t>P1</t>
        </is>
      </c>
      <c r="G160" s="2" t="inlineStr">
        <is>
          <t>Use approved QA environment, required fixtures and authorized QA account; open the feature location. For access tests begin in stated signed-out state.</t>
        </is>
      </c>
      <c r="H160" s="2" t="inlineStr">
        <is>
          <t>QA-CAMPAIGN</t>
        </is>
      </c>
      <c r="I160" s="2" t="inlineStr">
        <is>
          <t>Fail generation/publish and repeat submit under slow response.</t>
        </is>
      </c>
      <c r="J160" s="2" t="inlineStr">
        <is>
          <t>No false published state or duplicate action; retry preserves assets.</t>
        </is>
      </c>
      <c r="K160" s="2" t="inlineStr">
        <is>
          <t>External side effects: approved QA destination only; otherwise mark publication Blocked.</t>
        </is>
      </c>
      <c r="L160" s="2" t="inlineStr">
        <is>
          <t>frontend/src/app/components/CampaignActivationLayer.tsx</t>
        </is>
      </c>
      <c r="M160" s="2" t="inlineStr">
        <is>
          <t>Not Run</t>
        </is>
      </c>
      <c r="N160" s="2" t="inlineStr"/>
      <c r="O160" s="2" t="inlineStr"/>
      <c r="P160" s="2" t="inlineStr"/>
      <c r="Q160" s="2" t="inlineStr"/>
      <c r="R160" s="2" t="inlineStr"/>
    </row>
    <row r="161" ht="110" customHeight="1">
      <c r="A161" s="3" t="inlineStr">
        <is>
          <t>TC-160</t>
        </is>
      </c>
      <c r="B161" s="3" t="inlineStr">
        <is>
          <t>F-056</t>
        </is>
      </c>
      <c r="C161" s="3" t="inlineStr">
        <is>
          <t>Activation Layer</t>
        </is>
      </c>
      <c r="D161" s="3" t="inlineStr">
        <is>
          <t>Campaign asset generation and lifecycle</t>
        </is>
      </c>
      <c r="E161" s="3" t="inlineStr">
        <is>
          <t>Correctness / persistence</t>
        </is>
      </c>
      <c r="F161" s="3" t="inlineStr">
        <is>
          <t>P1</t>
        </is>
      </c>
      <c r="G161" s="3" t="inlineStr">
        <is>
          <t>Use approved QA environment, required fixtures and authorized QA account; open the feature location. For access tests begin in stated signed-out state.</t>
        </is>
      </c>
      <c r="H161" s="3" t="inlineStr">
        <is>
          <t>QA-CAMPAIGN</t>
        </is>
      </c>
      <c r="I161" s="3" t="inlineStr">
        <is>
          <t>Reload history and audit; compare campaign ID/content/status and destination response.</t>
        </is>
      </c>
      <c r="J161" s="3" t="inlineStr">
        <is>
          <t>Correct persisted state, scope and audit; disabled transaction ingestion unaffected.</t>
        </is>
      </c>
      <c r="K161" s="3" t="inlineStr">
        <is>
          <t>External side effects: approved QA destination only; otherwise mark publication Blocked.</t>
        </is>
      </c>
      <c r="L161" s="3" t="inlineStr">
        <is>
          <t>frontend/src/app/components/CampaignActivationLayer.tsx</t>
        </is>
      </c>
      <c r="M161" s="3" t="inlineStr">
        <is>
          <t>Not Run</t>
        </is>
      </c>
      <c r="N161" s="3" t="inlineStr"/>
      <c r="O161" s="3" t="inlineStr"/>
      <c r="P161" s="3" t="inlineStr"/>
      <c r="Q161" s="3" t="inlineStr"/>
      <c r="R161" s="3" t="inlineStr"/>
    </row>
    <row r="162" ht="110" customHeight="1">
      <c r="A162" s="2" t="inlineStr">
        <is>
          <t>TC-161</t>
        </is>
      </c>
      <c r="B162" s="2" t="inlineStr">
        <is>
          <t>F-057</t>
        </is>
      </c>
      <c r="C162" s="2" t="inlineStr">
        <is>
          <t>Root Cause Explorer</t>
        </is>
      </c>
      <c r="D162" s="2" t="inlineStr">
        <is>
          <t>Diagnostic period/sector exploration</t>
        </is>
      </c>
      <c r="E162" s="2" t="inlineStr">
        <is>
          <t>Successful workflow</t>
        </is>
      </c>
      <c r="F162" s="2" t="inlineStr">
        <is>
          <t>P0</t>
        </is>
      </c>
      <c r="G162" s="2" t="inlineStr">
        <is>
          <t>Use approved QA environment, required fixtures and authorized QA account; open the feature location. For access tests begin in stated signed-out state.</t>
        </is>
      </c>
      <c r="H162" s="2" t="inlineStr">
        <is>
          <t>QA-LEDGER</t>
        </is>
      </c>
      <c r="I162" s="2" t="inlineStr">
        <is>
          <t>Choose valid comparison period/sector; inspect waterfall and seven tabs; search/sort/page channel/category/SKU.</t>
        </is>
      </c>
      <c r="J162" s="2" t="inlineStr">
        <is>
          <t>All views share correct selected windows/sector and actual API data.</t>
        </is>
      </c>
      <c r="K162" s="2" t="inlineStr">
        <is>
          <t>Read-only; restore temporary QA filters/settings.</t>
        </is>
      </c>
      <c r="L162" s="2" t="inlineStr">
        <is>
          <t>frontend/src/app/pages/RootCauseExplorer.tsx</t>
        </is>
      </c>
      <c r="M162" s="2" t="inlineStr">
        <is>
          <t>Not Run</t>
        </is>
      </c>
      <c r="N162" s="2" t="inlineStr"/>
      <c r="O162" s="2" t="inlineStr"/>
      <c r="P162" s="2" t="inlineStr"/>
      <c r="Q162" s="2" t="inlineStr"/>
      <c r="R162" s="2" t="inlineStr"/>
    </row>
    <row r="163" ht="110" customHeight="1">
      <c r="A163" s="3" t="inlineStr">
        <is>
          <t>TC-162</t>
        </is>
      </c>
      <c r="B163" s="3" t="inlineStr">
        <is>
          <t>F-057</t>
        </is>
      </c>
      <c r="C163" s="3" t="inlineStr">
        <is>
          <t>Root Cause Explorer</t>
        </is>
      </c>
      <c r="D163" s="3" t="inlineStr">
        <is>
          <t>Diagnostic period/sector exploration</t>
        </is>
      </c>
      <c r="E163" s="3" t="inlineStr">
        <is>
          <t>Validation / failure handling</t>
        </is>
      </c>
      <c r="F163" s="3" t="inlineStr">
        <is>
          <t>P0</t>
        </is>
      </c>
      <c r="G163" s="3" t="inlineStr">
        <is>
          <t>Use approved QA environment, required fixtures and authorized QA account; open the feature location. For access tests begin in stated signed-out state.</t>
        </is>
      </c>
      <c r="H163" s="3" t="inlineStr">
        <is>
          <t>QA-LEDGER</t>
        </is>
      </c>
      <c r="I163" s="3" t="inlineStr">
        <is>
          <t>Try invalid custom dates, no-match query and request failure while switching scope.</t>
        </is>
      </c>
      <c r="J163" s="3" t="inlineStr">
        <is>
          <t>Validation and empty/error states truthful; stale response cannot overwrite newest context.</t>
        </is>
      </c>
      <c r="K163" s="3" t="inlineStr">
        <is>
          <t>Read-only; restore temporary QA filters/settings.</t>
        </is>
      </c>
      <c r="L163" s="3" t="inlineStr">
        <is>
          <t>frontend/src/app/pages/RootCauseExplorer.tsx</t>
        </is>
      </c>
      <c r="M163" s="3" t="inlineStr">
        <is>
          <t>Not Run</t>
        </is>
      </c>
      <c r="N163" s="3" t="inlineStr"/>
      <c r="O163" s="3" t="inlineStr"/>
      <c r="P163" s="3" t="inlineStr"/>
      <c r="Q163" s="3" t="inlineStr"/>
      <c r="R163" s="3" t="inlineStr"/>
    </row>
    <row r="164" ht="110" customHeight="1">
      <c r="A164" s="2" t="inlineStr">
        <is>
          <t>TC-163</t>
        </is>
      </c>
      <c r="B164" s="2" t="inlineStr">
        <is>
          <t>F-057</t>
        </is>
      </c>
      <c r="C164" s="2" t="inlineStr">
        <is>
          <t>Root Cause Explorer</t>
        </is>
      </c>
      <c r="D164" s="2" t="inlineStr">
        <is>
          <t>Diagnostic period/sector exploration</t>
        </is>
      </c>
      <c r="E164" s="2" t="inlineStr">
        <is>
          <t>Correctness / persistence</t>
        </is>
      </c>
      <c r="F164" s="2" t="inlineStr">
        <is>
          <t>P0</t>
        </is>
      </c>
      <c r="G164" s="2" t="inlineStr">
        <is>
          <t>Use approved QA environment, required fixtures and authorized QA account; open the feature location. For access tests begin in stated signed-out state.</t>
        </is>
      </c>
      <c r="H164" s="2" t="inlineStr">
        <is>
          <t>QA-LEDGER</t>
        </is>
      </c>
      <c r="I164" s="2" t="inlineStr">
        <is>
          <t>Compare displayed windows/rows/KPIs to source analysis and refresh.</t>
        </is>
      </c>
      <c r="J164" s="2" t="inlineStr">
        <is>
          <t>No hardcoded sample substituted; current/prior counts and selected scope match.</t>
        </is>
      </c>
      <c r="K164" s="2" t="inlineStr">
        <is>
          <t>Read-only; restore temporary QA filters/settings.</t>
        </is>
      </c>
      <c r="L164" s="2" t="inlineStr">
        <is>
          <t>frontend/src/app/pages/RootCauseExplorer.tsx</t>
        </is>
      </c>
      <c r="M164" s="2" t="inlineStr">
        <is>
          <t>Not Run</t>
        </is>
      </c>
      <c r="N164" s="2" t="inlineStr"/>
      <c r="O164" s="2" t="inlineStr"/>
      <c r="P164" s="2" t="inlineStr"/>
      <c r="Q164" s="2" t="inlineStr"/>
      <c r="R164" s="2" t="inlineStr"/>
    </row>
    <row r="165" ht="110" customHeight="1">
      <c r="A165" s="3" t="inlineStr">
        <is>
          <t>TC-164</t>
        </is>
      </c>
      <c r="B165" s="3" t="inlineStr">
        <is>
          <t>F-058</t>
        </is>
      </c>
      <c r="C165" s="3" t="inlineStr">
        <is>
          <t>Root Cause Explorer</t>
        </is>
      </c>
      <c r="D165" s="3" t="inlineStr">
        <is>
          <t>Revenue waterfall and decomposition</t>
        </is>
      </c>
      <c r="E165" s="3" t="inlineStr">
        <is>
          <t>Successful workflow</t>
        </is>
      </c>
      <c r="F165" s="3" t="inlineStr">
        <is>
          <t>P0</t>
        </is>
      </c>
      <c r="G165" s="3" t="inlineStr">
        <is>
          <t>Use approved QA environment, required fixtures and authorized QA account; open the feature location. For access tests begin in stated signed-out state.</t>
        </is>
      </c>
      <c r="H165" s="3" t="inlineStr">
        <is>
          <t>QA-LEDGER</t>
        </is>
      </c>
      <c r="I165" s="3" t="inlineStr">
        <is>
          <t>Load QA comparison; inspect signed channel bars/running totals and Verify calculation.</t>
        </is>
      </c>
      <c r="J165" s="3" t="inlineStr">
        <is>
          <t>Prior revenue plus channel deltas equals current revenue; tooltip total/change labels accurate.</t>
        </is>
      </c>
      <c r="K165" s="3" t="inlineStr">
        <is>
          <t>Read-only; restore temporary QA filters/settings.</t>
        </is>
      </c>
      <c r="L165" s="3" t="inlineStr">
        <is>
          <t>frontend/src/app/pages/RootCauseExplorer.tsx</t>
        </is>
      </c>
      <c r="M165" s="3" t="inlineStr">
        <is>
          <t>Not Run</t>
        </is>
      </c>
      <c r="N165" s="3" t="inlineStr"/>
      <c r="O165" s="3" t="inlineStr"/>
      <c r="P165" s="3" t="inlineStr"/>
      <c r="Q165" s="3" t="inlineStr"/>
      <c r="R165" s="3" t="inlineStr"/>
    </row>
    <row r="166" ht="110" customHeight="1">
      <c r="A166" s="2" t="inlineStr">
        <is>
          <t>TC-165</t>
        </is>
      </c>
      <c r="B166" s="2" t="inlineStr">
        <is>
          <t>F-058</t>
        </is>
      </c>
      <c r="C166" s="2" t="inlineStr">
        <is>
          <t>Root Cause Explorer</t>
        </is>
      </c>
      <c r="D166" s="2" t="inlineStr">
        <is>
          <t>Revenue waterfall and decomposition</t>
        </is>
      </c>
      <c r="E166" s="2" t="inlineStr">
        <is>
          <t>Validation / failure handling</t>
        </is>
      </c>
      <c r="F166" s="2" t="inlineStr">
        <is>
          <t>P0</t>
        </is>
      </c>
      <c r="G166" s="2" t="inlineStr">
        <is>
          <t>Use approved QA environment, required fixtures and authorized QA account; open the feature location. For access tests begin in stated signed-out state.</t>
        </is>
      </c>
      <c r="H166" s="2" t="inlineStr">
        <is>
          <t>QA-LEDGER</t>
        </is>
      </c>
      <c r="I166" s="2" t="inlineStr">
        <is>
          <t>Use missing current rows, zero prior baseline and product changing category.</t>
        </is>
      </c>
      <c r="J166" s="2" t="inlineStr">
        <is>
          <t>Missing-data limits explicit; no infinite percentage; product groups accumulate correctly.</t>
        </is>
      </c>
      <c r="K166" s="2" t="inlineStr">
        <is>
          <t>Read-only; restore temporary QA filters/settings.</t>
        </is>
      </c>
      <c r="L166" s="2" t="inlineStr">
        <is>
          <t>frontend/src/app/pages/RootCauseExplorer.tsx</t>
        </is>
      </c>
      <c r="M166" s="2" t="inlineStr">
        <is>
          <t>Not Run</t>
        </is>
      </c>
      <c r="N166" s="2" t="inlineStr"/>
      <c r="O166" s="2" t="inlineStr"/>
      <c r="P166" s="2" t="inlineStr"/>
      <c r="Q166" s="2" t="inlineStr"/>
      <c r="R166" s="2" t="inlineStr"/>
    </row>
    <row r="167" ht="110" customHeight="1">
      <c r="A167" s="3" t="inlineStr">
        <is>
          <t>TC-166</t>
        </is>
      </c>
      <c r="B167" s="3" t="inlineStr">
        <is>
          <t>F-058</t>
        </is>
      </c>
      <c r="C167" s="3" t="inlineStr">
        <is>
          <t>Root Cause Explorer</t>
        </is>
      </c>
      <c r="D167" s="3" t="inlineStr">
        <is>
          <t>Revenue waterfall and decomposition</t>
        </is>
      </c>
      <c r="E167" s="3" t="inlineStr">
        <is>
          <t>Correctness / persistence</t>
        </is>
      </c>
      <c r="F167" s="3" t="inlineStr">
        <is>
          <t>P0</t>
        </is>
      </c>
      <c r="G167" s="3" t="inlineStr">
        <is>
          <t>Use approved QA environment, required fixtures and authorized QA account; open the feature location. For access tests begin in stated signed-out state.</t>
        </is>
      </c>
      <c r="H167" s="3" t="inlineStr">
        <is>
          <t>QA-LEDGER</t>
        </is>
      </c>
      <c r="I167" s="3" t="inlineStr">
        <is>
          <t>Sum quantity/unit-revenue/new/absent/other bridge components; compare net delta310 from ledger.</t>
        </is>
      </c>
      <c r="J167" s="3" t="inlineStr">
        <is>
          <t>Accounting identity reconciles within currency precision; decomposition not claimed proof of causes.</t>
        </is>
      </c>
      <c r="K167" s="3" t="inlineStr">
        <is>
          <t>Read-only; restore temporary QA filters/settings.</t>
        </is>
      </c>
      <c r="L167" s="3" t="inlineStr">
        <is>
          <t>frontend/src/app/pages/RootCauseExplorer.tsx</t>
        </is>
      </c>
      <c r="M167" s="3" t="inlineStr">
        <is>
          <t>Not Run</t>
        </is>
      </c>
      <c r="N167" s="3" t="inlineStr"/>
      <c r="O167" s="3" t="inlineStr"/>
      <c r="P167" s="3" t="inlineStr"/>
      <c r="Q167" s="3" t="inlineStr"/>
      <c r="R167" s="3" t="inlineStr"/>
    </row>
    <row r="168" ht="110" customHeight="1">
      <c r="A168" s="2" t="inlineStr">
        <is>
          <t>TC-167</t>
        </is>
      </c>
      <c r="B168" s="2" t="inlineStr">
        <is>
          <t>F-059</t>
        </is>
      </c>
      <c r="C168" s="2" t="inlineStr">
        <is>
          <t>Root Cause Explorer</t>
        </is>
      </c>
      <c r="D168" s="2" t="inlineStr">
        <is>
          <t>Weather, time, discounts and evidence limits</t>
        </is>
      </c>
      <c r="E168" s="2" t="inlineStr">
        <is>
          <t>Successful workflow</t>
        </is>
      </c>
      <c r="F168" s="2" t="inlineStr">
        <is>
          <t>P1</t>
        </is>
      </c>
      <c r="G168" s="2" t="inlineStr">
        <is>
          <t>Use approved QA environment, required fixtures and authorized QA account; open the feature location. For access tests begin in stated signed-out state.</t>
        </is>
      </c>
      <c r="H168" s="2" t="inlineStr">
        <is>
          <t>QA-LEDGER</t>
        </is>
      </c>
      <c r="I168" s="2" t="inlineStr">
        <is>
          <t>Inspect matched weather/time and recorded gross/discount/net analysis.</t>
        </is>
      </c>
      <c r="J168" s="2" t="inlineStr">
        <is>
          <t>Observed matched dates and correct revenue units; discount bridge uses recorded values.</t>
        </is>
      </c>
      <c r="K168" s="2" t="inlineStr">
        <is>
          <t>Read-only; restore temporary QA filters/settings.</t>
        </is>
      </c>
      <c r="L168" s="2" t="inlineStr">
        <is>
          <t>frontend/src/app/pages/RootCauseExplorer.tsx</t>
        </is>
      </c>
      <c r="M168" s="2" t="inlineStr">
        <is>
          <t>Not Run</t>
        </is>
      </c>
      <c r="N168" s="2" t="inlineStr"/>
      <c r="O168" s="2" t="inlineStr"/>
      <c r="P168" s="2" t="inlineStr"/>
      <c r="Q168" s="2" t="inlineStr"/>
      <c r="R168" s="2" t="inlineStr"/>
    </row>
    <row r="169" ht="110" customHeight="1">
      <c r="A169" s="3" t="inlineStr">
        <is>
          <t>TC-168</t>
        </is>
      </c>
      <c r="B169" s="3" t="inlineStr">
        <is>
          <t>F-059</t>
        </is>
      </c>
      <c r="C169" s="3" t="inlineStr">
        <is>
          <t>Root Cause Explorer</t>
        </is>
      </c>
      <c r="D169" s="3" t="inlineStr">
        <is>
          <t>Weather, time, discounts and evidence limits</t>
        </is>
      </c>
      <c r="E169" s="3" t="inlineStr">
        <is>
          <t>Validation / failure handling</t>
        </is>
      </c>
      <c r="F169" s="3" t="inlineStr">
        <is>
          <t>P1</t>
        </is>
      </c>
      <c r="G169" s="3" t="inlineStr">
        <is>
          <t>Use approved QA environment, required fixtures and authorized QA account; open the feature location. For access tests begin in stated signed-out state.</t>
        </is>
      </c>
      <c r="H169" s="3" t="inlineStr">
        <is>
          <t>QA-LEDGER</t>
        </is>
      </c>
      <c r="I169" s="3" t="inlineStr">
        <is>
          <t>Open Stock/Promotion without historical inventory or controlled exposure; use absent weather dates.</t>
        </is>
      </c>
      <c r="J169" s="3" t="inlineStr">
        <is>
          <t>Unsupported claims shown unavailable; no fabricated stockout loss, expiry or causal promotion lift.</t>
        </is>
      </c>
      <c r="K169" s="3" t="inlineStr">
        <is>
          <t>Read-only; restore temporary QA filters/settings.</t>
        </is>
      </c>
      <c r="L169" s="3" t="inlineStr">
        <is>
          <t>frontend/src/app/pages/RootCauseExplorer.tsx</t>
        </is>
      </c>
      <c r="M169" s="3" t="inlineStr">
        <is>
          <t>Not Run</t>
        </is>
      </c>
      <c r="N169" s="3" t="inlineStr"/>
      <c r="O169" s="3" t="inlineStr"/>
      <c r="P169" s="3" t="inlineStr"/>
      <c r="Q169" s="3" t="inlineStr"/>
      <c r="R169" s="3" t="inlineStr"/>
    </row>
    <row r="170" ht="110" customHeight="1">
      <c r="A170" s="2" t="inlineStr">
        <is>
          <t>TC-169</t>
        </is>
      </c>
      <c r="B170" s="2" t="inlineStr">
        <is>
          <t>F-059</t>
        </is>
      </c>
      <c r="C170" s="2" t="inlineStr">
        <is>
          <t>Root Cause Explorer</t>
        </is>
      </c>
      <c r="D170" s="2" t="inlineStr">
        <is>
          <t>Weather, time, discounts and evidence limits</t>
        </is>
      </c>
      <c r="E170" s="2" t="inlineStr">
        <is>
          <t>Correctness / persistence</t>
        </is>
      </c>
      <c r="F170" s="2" t="inlineStr">
        <is>
          <t>P1</t>
        </is>
      </c>
      <c r="G170" s="2" t="inlineStr">
        <is>
          <t>Use approved QA environment, required fixtures and authorized QA account; open the feature location. For access tests begin in stated signed-out state.</t>
        </is>
      </c>
      <c r="H170" s="2" t="inlineStr">
        <is>
          <t>QA-LEDGER</t>
        </is>
      </c>
      <c r="I170" s="2" t="inlineStr">
        <is>
          <t>Compare sampled rows to weather/transaction records and ledger gross1320-discounts110=net1210.</t>
        </is>
      </c>
      <c r="J170" s="2" t="inlineStr">
        <is>
          <t>Correct arithmetic and data provenance; correlation separated from causation.</t>
        </is>
      </c>
      <c r="K170" s="2" t="inlineStr">
        <is>
          <t>Read-only; restore temporary QA filters/settings.</t>
        </is>
      </c>
      <c r="L170" s="2" t="inlineStr">
        <is>
          <t>frontend/src/app/pages/RootCauseExplorer.tsx</t>
        </is>
      </c>
      <c r="M170" s="2" t="inlineStr">
        <is>
          <t>Not Run</t>
        </is>
      </c>
      <c r="N170" s="2" t="inlineStr"/>
      <c r="O170" s="2" t="inlineStr"/>
      <c r="P170" s="2" t="inlineStr"/>
      <c r="Q170" s="2" t="inlineStr"/>
      <c r="R170" s="2" t="inlineStr"/>
    </row>
    <row r="171" ht="110" customHeight="1">
      <c r="A171" s="3" t="inlineStr">
        <is>
          <t>TC-170</t>
        </is>
      </c>
      <c r="B171" s="3" t="inlineStr">
        <is>
          <t>F-060</t>
        </is>
      </c>
      <c r="C171" s="3" t="inlineStr">
        <is>
          <t>Smart Reports</t>
        </is>
      </c>
      <c r="D171" s="3" t="inlineStr">
        <is>
          <t>Report generation and source scope</t>
        </is>
      </c>
      <c r="E171" s="3" t="inlineStr">
        <is>
          <t>Successful workflow</t>
        </is>
      </c>
      <c r="F171" s="3" t="inlineStr">
        <is>
          <t>P0</t>
        </is>
      </c>
      <c r="G171" s="3" t="inlineStr">
        <is>
          <t>Use approved QA environment, required fixtures and authorized QA account; open the feature location. For access tests begin in stated signed-out state.</t>
        </is>
      </c>
      <c r="H171" s="3" t="inlineStr">
        <is>
          <t>QA-REPORT / QA-LEDGER</t>
        </is>
      </c>
      <c r="I171" s="3" t="inlineStr">
        <is>
          <t>Enter unique QA title and valid dates; select sectors; generate and reopen report.</t>
        </is>
      </c>
      <c r="J171" s="3" t="inlineStr">
        <is>
          <t>One saved report matching title/window/sectors with accurate content.</t>
        </is>
      </c>
      <c r="K171" s="3" t="inlineStr">
        <is>
          <t>Disposable QA reports only.</t>
        </is>
      </c>
      <c r="L171" s="3" t="inlineStr">
        <is>
          <t>frontend/src/app/pages/SmartReports.tsx</t>
        </is>
      </c>
      <c r="M171" s="3" t="inlineStr">
        <is>
          <t>Not Run</t>
        </is>
      </c>
      <c r="N171" s="3" t="inlineStr"/>
      <c r="O171" s="3" t="inlineStr"/>
      <c r="P171" s="3" t="inlineStr"/>
      <c r="Q171" s="3" t="inlineStr"/>
      <c r="R171" s="3" t="inlineStr"/>
    </row>
    <row r="172" ht="110" customHeight="1">
      <c r="A172" s="2" t="inlineStr">
        <is>
          <t>TC-171</t>
        </is>
      </c>
      <c r="B172" s="2" t="inlineStr">
        <is>
          <t>F-060</t>
        </is>
      </c>
      <c r="C172" s="2" t="inlineStr">
        <is>
          <t>Smart Reports</t>
        </is>
      </c>
      <c r="D172" s="2" t="inlineStr">
        <is>
          <t>Report generation and source scope</t>
        </is>
      </c>
      <c r="E172" s="2" t="inlineStr">
        <is>
          <t>Validation / failure handling</t>
        </is>
      </c>
      <c r="F172" s="2" t="inlineStr">
        <is>
          <t>P0</t>
        </is>
      </c>
      <c r="G172" s="2" t="inlineStr">
        <is>
          <t>Use approved QA environment, required fixtures and authorized QA account; open the feature location. For access tests begin in stated signed-out state.</t>
        </is>
      </c>
      <c r="H172" s="2" t="inlineStr">
        <is>
          <t>QA-REPORT / QA-LEDGER</t>
        </is>
      </c>
      <c r="I172" s="2" t="inlineStr">
        <is>
          <t>Test reversed dates, no selected sector, no data, partial data and long-range warning options.</t>
        </is>
      </c>
      <c r="J172" s="2" t="inlineStr">
        <is>
          <t>Validation and decisions clear; limited data disclosed; adjusted dates exactly reflected.</t>
        </is>
      </c>
      <c r="K172" s="2" t="inlineStr">
        <is>
          <t>Disposable QA reports only.</t>
        </is>
      </c>
      <c r="L172" s="2" t="inlineStr">
        <is>
          <t>frontend/src/app/pages/SmartReports.tsx</t>
        </is>
      </c>
      <c r="M172" s="2" t="inlineStr">
        <is>
          <t>Not Run</t>
        </is>
      </c>
      <c r="N172" s="2" t="inlineStr"/>
      <c r="O172" s="2" t="inlineStr"/>
      <c r="P172" s="2" t="inlineStr"/>
      <c r="Q172" s="2" t="inlineStr"/>
      <c r="R172" s="2" t="inlineStr"/>
    </row>
    <row r="173" ht="110" customHeight="1">
      <c r="A173" s="3" t="inlineStr">
        <is>
          <t>TC-172</t>
        </is>
      </c>
      <c r="B173" s="3" t="inlineStr">
        <is>
          <t>F-060</t>
        </is>
      </c>
      <c r="C173" s="3" t="inlineStr">
        <is>
          <t>Smart Reports</t>
        </is>
      </c>
      <c r="D173" s="3" t="inlineStr">
        <is>
          <t>Report generation and source scope</t>
        </is>
      </c>
      <c r="E173" s="3" t="inlineStr">
        <is>
          <t>Correctness / persistence</t>
        </is>
      </c>
      <c r="F173" s="3" t="inlineStr">
        <is>
          <t>P0</t>
        </is>
      </c>
      <c r="G173" s="3" t="inlineStr">
        <is>
          <t>Use approved QA environment, required fixtures and authorized QA account; open the feature location. For access tests begin in stated signed-out state.</t>
        </is>
      </c>
      <c r="H173" s="3" t="inlineStr">
        <is>
          <t>QA-REPORT / QA-LEDGER</t>
        </is>
      </c>
      <c r="I173" s="3" t="inlineStr">
        <is>
          <t>Compare report KPIs to dashboard/API under identical definitions and source window.</t>
        </is>
      </c>
      <c r="J173" s="3" t="inlineStr">
        <is>
          <t>Report values reconcile; no fabricated interpretation of missing sectors.</t>
        </is>
      </c>
      <c r="K173" s="3" t="inlineStr">
        <is>
          <t>Disposable QA reports only.</t>
        </is>
      </c>
      <c r="L173" s="3" t="inlineStr">
        <is>
          <t>frontend/src/app/pages/SmartReports.tsx</t>
        </is>
      </c>
      <c r="M173" s="3" t="inlineStr">
        <is>
          <t>Not Run</t>
        </is>
      </c>
      <c r="N173" s="3" t="inlineStr"/>
      <c r="O173" s="3" t="inlineStr"/>
      <c r="P173" s="3" t="inlineStr"/>
      <c r="Q173" s="3" t="inlineStr"/>
      <c r="R173" s="3" t="inlineStr"/>
    </row>
    <row r="174" ht="110" customHeight="1">
      <c r="A174" s="2" t="inlineStr">
        <is>
          <t>TC-173</t>
        </is>
      </c>
      <c r="B174" s="2" t="inlineStr">
        <is>
          <t>F-061</t>
        </is>
      </c>
      <c r="C174" s="2" t="inlineStr">
        <is>
          <t>Smart Reports</t>
        </is>
      </c>
      <c r="D174" s="2" t="inlineStr">
        <is>
          <t>Report export and deletion</t>
        </is>
      </c>
      <c r="E174" s="2" t="inlineStr">
        <is>
          <t>Successful workflow</t>
        </is>
      </c>
      <c r="F174" s="2" t="inlineStr">
        <is>
          <t>P1</t>
        </is>
      </c>
      <c r="G174" s="2" t="inlineStr">
        <is>
          <t>Use approved QA environment, required fixtures and authorized QA account; open the feature location. For access tests begin in stated signed-out state.</t>
        </is>
      </c>
      <c r="H174" s="2" t="inlineStr">
        <is>
          <t>QA-REPORT</t>
        </is>
      </c>
      <c r="I174" s="2" t="inlineStr">
        <is>
          <t>Open QA report; export CSV and PDF/Print; inspect output; delete disposable report after verification.</t>
        </is>
      </c>
      <c r="J174" s="2" t="inlineStr">
        <is>
          <t>Files represent selected report with readable complete content; intended record removed.</t>
        </is>
      </c>
      <c r="K174" s="2" t="inlineStr">
        <is>
          <t>Keep QA exports in approved evidence folder; delete only disposable report.</t>
        </is>
      </c>
      <c r="L174" s="2" t="inlineStr">
        <is>
          <t>frontend/src/app/pages/SmartReports.tsx</t>
        </is>
      </c>
      <c r="M174" s="2" t="inlineStr">
        <is>
          <t>Not Run</t>
        </is>
      </c>
      <c r="N174" s="2" t="inlineStr"/>
      <c r="O174" s="2" t="inlineStr"/>
      <c r="P174" s="2" t="inlineStr"/>
      <c r="Q174" s="2" t="inlineStr"/>
      <c r="R174" s="2" t="inlineStr"/>
    </row>
    <row r="175" ht="110" customHeight="1">
      <c r="A175" s="3" t="inlineStr">
        <is>
          <t>TC-174</t>
        </is>
      </c>
      <c r="B175" s="3" t="inlineStr">
        <is>
          <t>F-061</t>
        </is>
      </c>
      <c r="C175" s="3" t="inlineStr">
        <is>
          <t>Smart Reports</t>
        </is>
      </c>
      <c r="D175" s="3" t="inlineStr">
        <is>
          <t>Report export and deletion</t>
        </is>
      </c>
      <c r="E175" s="3" t="inlineStr">
        <is>
          <t>Validation / failure handling</t>
        </is>
      </c>
      <c r="F175" s="3" t="inlineStr">
        <is>
          <t>P1</t>
        </is>
      </c>
      <c r="G175" s="3" t="inlineStr">
        <is>
          <t>Use approved QA environment, required fixtures and authorized QA account; open the feature location. For access tests begin in stated signed-out state.</t>
        </is>
      </c>
      <c r="H175" s="3" t="inlineStr">
        <is>
          <t>QA-REPORT</t>
        </is>
      </c>
      <c r="I175" s="3" t="inlineStr">
        <is>
          <t>Cancel save/delete; induce export/delete failure.</t>
        </is>
      </c>
      <c r="J175" s="3" t="inlineStr">
        <is>
          <t>Cancel preserves data; failure does not claim success or delete wrong report.</t>
        </is>
      </c>
      <c r="K175" s="3" t="inlineStr">
        <is>
          <t>Keep QA exports in approved evidence folder; delete only disposable report.</t>
        </is>
      </c>
      <c r="L175" s="3" t="inlineStr">
        <is>
          <t>frontend/src/app/pages/SmartReports.tsx</t>
        </is>
      </c>
      <c r="M175" s="3" t="inlineStr">
        <is>
          <t>Not Run</t>
        </is>
      </c>
      <c r="N175" s="3" t="inlineStr"/>
      <c r="O175" s="3" t="inlineStr"/>
      <c r="P175" s="3" t="inlineStr"/>
      <c r="Q175" s="3" t="inlineStr"/>
      <c r="R175" s="3" t="inlineStr"/>
    </row>
    <row r="176" ht="110" customHeight="1">
      <c r="A176" s="2" t="inlineStr">
        <is>
          <t>TC-175</t>
        </is>
      </c>
      <c r="B176" s="2" t="inlineStr">
        <is>
          <t>F-061</t>
        </is>
      </c>
      <c r="C176" s="2" t="inlineStr">
        <is>
          <t>Smart Reports</t>
        </is>
      </c>
      <c r="D176" s="2" t="inlineStr">
        <is>
          <t>Report export and deletion</t>
        </is>
      </c>
      <c r="E176" s="2" t="inlineStr">
        <is>
          <t>Correctness / persistence</t>
        </is>
      </c>
      <c r="F176" s="2" t="inlineStr">
        <is>
          <t>P1</t>
        </is>
      </c>
      <c r="G176" s="2" t="inlineStr">
        <is>
          <t>Use approved QA environment, required fixtures and authorized QA account; open the feature location. For access tests begin in stated signed-out state.</t>
        </is>
      </c>
      <c r="H176" s="2" t="inlineStr">
        <is>
          <t>QA-REPORT</t>
        </is>
      </c>
      <c r="I176" s="2" t="inlineStr">
        <is>
          <t>Compare export totals/text to saved record; reload and inspect audit after deletion.</t>
        </is>
      </c>
      <c r="J176" s="2" t="inlineStr">
        <is>
          <t>No missing/truncated critical content; CSV quoting/formula safety; unrelated reports intact.</t>
        </is>
      </c>
      <c r="K176" s="2" t="inlineStr">
        <is>
          <t>Keep QA exports in approved evidence folder; delete only disposable report.</t>
        </is>
      </c>
      <c r="L176" s="2" t="inlineStr">
        <is>
          <t>frontend/src/app/pages/SmartReports.tsx</t>
        </is>
      </c>
      <c r="M176" s="2" t="inlineStr">
        <is>
          <t>Not Run</t>
        </is>
      </c>
      <c r="N176" s="2" t="inlineStr"/>
      <c r="O176" s="2" t="inlineStr"/>
      <c r="P176" s="2" t="inlineStr"/>
      <c r="Q176" s="2" t="inlineStr"/>
      <c r="R176" s="2" t="inlineStr"/>
    </row>
    <row r="177" ht="110" customHeight="1">
      <c r="A177" s="3" t="inlineStr">
        <is>
          <t>TC-176</t>
        </is>
      </c>
      <c r="B177" s="3" t="inlineStr">
        <is>
          <t>F-062</t>
        </is>
      </c>
      <c r="C177" s="3" t="inlineStr">
        <is>
          <t>Smart Reports</t>
        </is>
      </c>
      <c r="D177" s="3" t="inlineStr">
        <is>
          <t>Report UAT feedback</t>
        </is>
      </c>
      <c r="E177" s="3" t="inlineStr">
        <is>
          <t>Successful workflow</t>
        </is>
      </c>
      <c r="F177" s="3" t="inlineStr">
        <is>
          <t>P1</t>
        </is>
      </c>
      <c r="G177" s="3" t="inlineStr">
        <is>
          <t>Use approved QA environment, required fixtures and authorized QA account; open the feature location. For access tests begin in stated signed-out state.</t>
        </is>
      </c>
      <c r="H177" s="3" t="inlineStr">
        <is>
          <t>QA-REPORT</t>
        </is>
      </c>
      <c r="I177" s="3" t="inlineStr">
        <is>
          <t>Choose both ratings and QA comment on selected report; submit UAT approval.</t>
        </is>
      </c>
      <c r="J177" s="3" t="inlineStr">
        <is>
          <t>Correct ratings/text saved once for that report; confirmation accurate.</t>
        </is>
      </c>
      <c r="K177" s="3" t="inlineStr">
        <is>
          <t>QA reports/feedback only.</t>
        </is>
      </c>
      <c r="L177" s="3" t="inlineStr">
        <is>
          <t>frontend/src/app/pages/SmartReports.tsx</t>
        </is>
      </c>
      <c r="M177" s="3" t="inlineStr">
        <is>
          <t>Not Run</t>
        </is>
      </c>
      <c r="N177" s="3" t="inlineStr"/>
      <c r="O177" s="3" t="inlineStr"/>
      <c r="P177" s="3" t="inlineStr"/>
      <c r="Q177" s="3" t="inlineStr"/>
      <c r="R177" s="3" t="inlineStr"/>
    </row>
    <row r="178" ht="110" customHeight="1">
      <c r="A178" s="2" t="inlineStr">
        <is>
          <t>TC-177</t>
        </is>
      </c>
      <c r="B178" s="2" t="inlineStr">
        <is>
          <t>F-062</t>
        </is>
      </c>
      <c r="C178" s="2" t="inlineStr">
        <is>
          <t>Smart Reports</t>
        </is>
      </c>
      <c r="D178" s="2" t="inlineStr">
        <is>
          <t>Report UAT feedback</t>
        </is>
      </c>
      <c r="E178" s="2" t="inlineStr">
        <is>
          <t>Validation / failure handling</t>
        </is>
      </c>
      <c r="F178" s="2" t="inlineStr">
        <is>
          <t>P1</t>
        </is>
      </c>
      <c r="G178" s="2" t="inlineStr">
        <is>
          <t>Use approved QA environment, required fixtures and authorized QA account; open the feature location. For access tests begin in stated signed-out state.</t>
        </is>
      </c>
      <c r="H178" s="2" t="inlineStr">
        <is>
          <t>QA-REPORT</t>
        </is>
      </c>
      <c r="I178" s="2" t="inlineStr">
        <is>
          <t>Test missing required rating, repeated submit and failed save.</t>
        </is>
      </c>
      <c r="J178" s="2" t="inlineStr">
        <is>
          <t>Validation/idempotency/error handling prevent false/incomplete duplicate feedback.</t>
        </is>
      </c>
      <c r="K178" s="2" t="inlineStr">
        <is>
          <t>QA reports/feedback only.</t>
        </is>
      </c>
      <c r="L178" s="2" t="inlineStr">
        <is>
          <t>frontend/src/app/pages/SmartReports.tsx</t>
        </is>
      </c>
      <c r="M178" s="2" t="inlineStr">
        <is>
          <t>Not Run</t>
        </is>
      </c>
      <c r="N178" s="2" t="inlineStr"/>
      <c r="O178" s="2" t="inlineStr"/>
      <c r="P178" s="2" t="inlineStr"/>
      <c r="Q178" s="2" t="inlineStr"/>
      <c r="R178" s="2" t="inlineStr"/>
    </row>
    <row r="179" ht="110" customHeight="1">
      <c r="A179" s="3" t="inlineStr">
        <is>
          <t>TC-178</t>
        </is>
      </c>
      <c r="B179" s="3" t="inlineStr">
        <is>
          <t>F-062</t>
        </is>
      </c>
      <c r="C179" s="3" t="inlineStr">
        <is>
          <t>Smart Reports</t>
        </is>
      </c>
      <c r="D179" s="3" t="inlineStr">
        <is>
          <t>Report UAT feedback</t>
        </is>
      </c>
      <c r="E179" s="3" t="inlineStr">
        <is>
          <t>Correctness / persistence</t>
        </is>
      </c>
      <c r="F179" s="3" t="inlineStr">
        <is>
          <t>P1</t>
        </is>
      </c>
      <c r="G179" s="3" t="inlineStr">
        <is>
          <t>Use approved QA environment, required fixtures and authorized QA account; open the feature location. For access tests begin in stated signed-out state.</t>
        </is>
      </c>
      <c r="H179" s="3" t="inlineStr">
        <is>
          <t>QA-REPORT</t>
        </is>
      </c>
      <c r="I179" s="3" t="inlineStr">
        <is>
          <t>Reopen report; compare stored rating/text/report ID.</t>
        </is>
      </c>
      <c r="J179" s="3" t="inlineStr">
        <is>
          <t>Feedback persists with exact intended context and safely rendered text.</t>
        </is>
      </c>
      <c r="K179" s="3" t="inlineStr">
        <is>
          <t>QA reports/feedback only.</t>
        </is>
      </c>
      <c r="L179" s="3" t="inlineStr">
        <is>
          <t>frontend/src/app/pages/SmartReports.tsx</t>
        </is>
      </c>
      <c r="M179" s="3" t="inlineStr">
        <is>
          <t>Not Run</t>
        </is>
      </c>
      <c r="N179" s="3" t="inlineStr"/>
      <c r="O179" s="3" t="inlineStr"/>
      <c r="P179" s="3" t="inlineStr"/>
      <c r="Q179" s="3" t="inlineStr"/>
      <c r="R179" s="3" t="inlineStr"/>
    </row>
    <row r="180" ht="110" customHeight="1">
      <c r="A180" s="2" t="inlineStr">
        <is>
          <t>TC-179</t>
        </is>
      </c>
      <c r="B180" s="2" t="inlineStr">
        <is>
          <t>F-063</t>
        </is>
      </c>
      <c r="C180" s="2" t="inlineStr">
        <is>
          <t>Feedback</t>
        </is>
      </c>
      <c r="D180" s="2" t="inlineStr">
        <is>
          <t>Recommendation completion and learning feedback</t>
        </is>
      </c>
      <c r="E180" s="2" t="inlineStr">
        <is>
          <t>Successful workflow</t>
        </is>
      </c>
      <c r="F180" s="2" t="inlineStr">
        <is>
          <t>P1</t>
        </is>
      </c>
      <c r="G180" s="2" t="inlineStr">
        <is>
          <t>Use approved QA environment, required fixtures and authorized QA account; open the feature location. For access tests begin in stated signed-out state.</t>
        </is>
      </c>
      <c r="H180" s="2" t="inlineStr">
        <is>
          <t>QA-FEEDBACK</t>
        </is>
      </c>
      <c r="I180" s="2" t="inlineStr">
        <is>
          <t>End disposable promotion, return/cancel once, then complete with helpful feedback; mark another unhelpful.</t>
        </is>
      </c>
      <c r="J180" s="2" t="inlineStr">
        <is>
          <t>Correct active-to-completed transition and linked feedback.</t>
        </is>
      </c>
      <c r="K180" s="2" t="inlineStr">
        <is>
          <t>Disposable QA recommendations only; affects learning inputs.</t>
        </is>
      </c>
      <c r="L180" s="2" t="inlineStr">
        <is>
          <t>frontend/src/app/pages/Feedback.tsx</t>
        </is>
      </c>
      <c r="M180" s="2" t="inlineStr">
        <is>
          <t>Not Run</t>
        </is>
      </c>
      <c r="N180" s="2" t="inlineStr"/>
      <c r="O180" s="2" t="inlineStr"/>
      <c r="P180" s="2" t="inlineStr"/>
      <c r="Q180" s="2" t="inlineStr"/>
      <c r="R180" s="2" t="inlineStr"/>
    </row>
    <row r="181" ht="110" customHeight="1">
      <c r="A181" s="3" t="inlineStr">
        <is>
          <t>TC-180</t>
        </is>
      </c>
      <c r="B181" s="3" t="inlineStr">
        <is>
          <t>F-063</t>
        </is>
      </c>
      <c r="C181" s="3" t="inlineStr">
        <is>
          <t>Feedback</t>
        </is>
      </c>
      <c r="D181" s="3" t="inlineStr">
        <is>
          <t>Recommendation completion and learning feedback</t>
        </is>
      </c>
      <c r="E181" s="3" t="inlineStr">
        <is>
          <t>Validation / failure handling</t>
        </is>
      </c>
      <c r="F181" s="3" t="inlineStr">
        <is>
          <t>P1</t>
        </is>
      </c>
      <c r="G181" s="3" t="inlineStr">
        <is>
          <t>Use approved QA environment, required fixtures and authorized QA account; open the feature location. For access tests begin in stated signed-out state.</t>
        </is>
      </c>
      <c r="H181" s="3" t="inlineStr">
        <is>
          <t>QA-FEEDBACK</t>
        </is>
      </c>
      <c r="I181" s="3" t="inlineStr">
        <is>
          <t>Repeat completed action; fail feedback save; use no-record state.</t>
        </is>
      </c>
      <c r="J181" s="3" t="inlineStr">
        <is>
          <t>No duplicates/false success or fake accuracy; cancellation leaves promotion active.</t>
        </is>
      </c>
      <c r="K181" s="3" t="inlineStr">
        <is>
          <t>Disposable QA recommendations only; affects learning inputs.</t>
        </is>
      </c>
      <c r="L181" s="3" t="inlineStr">
        <is>
          <t>frontend/src/app/pages/Feedback.tsx</t>
        </is>
      </c>
      <c r="M181" s="3" t="inlineStr">
        <is>
          <t>Not Run</t>
        </is>
      </c>
      <c r="N181" s="3" t="inlineStr"/>
      <c r="O181" s="3" t="inlineStr"/>
      <c r="P181" s="3" t="inlineStr"/>
      <c r="Q181" s="3" t="inlineStr"/>
      <c r="R181" s="3" t="inlineStr"/>
    </row>
    <row r="182" ht="110" customHeight="1">
      <c r="A182" s="2" t="inlineStr">
        <is>
          <t>TC-181</t>
        </is>
      </c>
      <c r="B182" s="2" t="inlineStr">
        <is>
          <t>F-063</t>
        </is>
      </c>
      <c r="C182" s="2" t="inlineStr">
        <is>
          <t>Feedback</t>
        </is>
      </c>
      <c r="D182" s="2" t="inlineStr">
        <is>
          <t>Recommendation completion and learning feedback</t>
        </is>
      </c>
      <c r="E182" s="2" t="inlineStr">
        <is>
          <t>Correctness / persistence</t>
        </is>
      </c>
      <c r="F182" s="2" t="inlineStr">
        <is>
          <t>P1</t>
        </is>
      </c>
      <c r="G182" s="2" t="inlineStr">
        <is>
          <t>Use approved QA environment, required fixtures and authorized QA account; open the feature location. For access tests begin in stated signed-out state.</t>
        </is>
      </c>
      <c r="H182" s="2" t="inlineStr">
        <is>
          <t>QA-FEEDBACK</t>
        </is>
      </c>
      <c r="I182" s="2" t="inlineStr">
        <is>
          <t>Reload; reconcile active/completed/helpful/accuracy KPIs to eligible records and audit.</t>
        </is>
      </c>
      <c r="J182" s="2" t="inlineStr">
        <is>
          <t>Persistent counts/formulas correct; no denominator errors.</t>
        </is>
      </c>
      <c r="K182" s="2" t="inlineStr">
        <is>
          <t>Disposable QA recommendations only; affects learning inputs.</t>
        </is>
      </c>
      <c r="L182" s="2" t="inlineStr">
        <is>
          <t>frontend/src/app/pages/Feedback.tsx</t>
        </is>
      </c>
      <c r="M182" s="2" t="inlineStr">
        <is>
          <t>Not Run</t>
        </is>
      </c>
      <c r="N182" s="2" t="inlineStr"/>
      <c r="O182" s="2" t="inlineStr"/>
      <c r="P182" s="2" t="inlineStr"/>
      <c r="Q182" s="2" t="inlineStr"/>
      <c r="R182" s="2" t="inlineStr"/>
    </row>
    <row r="183" ht="110" customHeight="1">
      <c r="A183" s="3" t="inlineStr">
        <is>
          <t>TC-182</t>
        </is>
      </c>
      <c r="B183" s="3" t="inlineStr">
        <is>
          <t>F-064</t>
        </is>
      </c>
      <c r="C183" s="3" t="inlineStr">
        <is>
          <t>Feedback</t>
        </is>
      </c>
      <c r="D183" s="3" t="inlineStr">
        <is>
          <t>System recalibration</t>
        </is>
      </c>
      <c r="E183" s="3" t="inlineStr">
        <is>
          <t>Successful workflow</t>
        </is>
      </c>
      <c r="F183" s="3" t="inlineStr">
        <is>
          <t>P1</t>
        </is>
      </c>
      <c r="G183" s="3" t="inlineStr">
        <is>
          <t>Use approved QA environment, required fixtures and authorized QA account; open the feature location. For access tests begin in stated signed-out state.</t>
        </is>
      </c>
      <c r="H183" s="3" t="inlineStr">
        <is>
          <t>QA-FEEDBACK</t>
        </is>
      </c>
      <c r="I183" s="3" t="inlineStr">
        <is>
          <t>Record available model/feedback context; trigger Recalibrate System; wait for completion.</t>
        </is>
      </c>
      <c r="J183" s="3" t="inlineStr">
        <is>
          <t>Actual recalibration outcome reported; busy state releases.</t>
        </is>
      </c>
      <c r="K183" s="3" t="inlineStr">
        <is>
          <t>Isolated QA learning/model environment.</t>
        </is>
      </c>
      <c r="L183" s="3" t="inlineStr">
        <is>
          <t>frontend/src/app/pages/Feedback.tsx</t>
        </is>
      </c>
      <c r="M183" s="3" t="inlineStr">
        <is>
          <t>Not Run</t>
        </is>
      </c>
      <c r="N183" s="3" t="inlineStr"/>
      <c r="O183" s="3" t="inlineStr"/>
      <c r="P183" s="3" t="inlineStr"/>
      <c r="Q183" s="3" t="inlineStr"/>
      <c r="R183" s="3" t="inlineStr"/>
    </row>
    <row r="184" ht="110" customHeight="1">
      <c r="A184" s="2" t="inlineStr">
        <is>
          <t>TC-183</t>
        </is>
      </c>
      <c r="B184" s="2" t="inlineStr">
        <is>
          <t>F-064</t>
        </is>
      </c>
      <c r="C184" s="2" t="inlineStr">
        <is>
          <t>Feedback</t>
        </is>
      </c>
      <c r="D184" s="2" t="inlineStr">
        <is>
          <t>System recalibration</t>
        </is>
      </c>
      <c r="E184" s="2" t="inlineStr">
        <is>
          <t>Validation / failure handling</t>
        </is>
      </c>
      <c r="F184" s="2" t="inlineStr">
        <is>
          <t>P1</t>
        </is>
      </c>
      <c r="G184" s="2" t="inlineStr">
        <is>
          <t>Use approved QA environment, required fixtures and authorized QA account; open the feature location. For access tests begin in stated signed-out state.</t>
        </is>
      </c>
      <c r="H184" s="2" t="inlineStr">
        <is>
          <t>QA-FEEDBACK</t>
        </is>
      </c>
      <c r="I184" s="2" t="inlineStr">
        <is>
          <t>Repeat request under slow job; simulate processing failure.</t>
        </is>
      </c>
      <c r="J184" s="2" t="inlineStr">
        <is>
          <t>Duplicates controlled; no fake success or cosmetic retraining claim.</t>
        </is>
      </c>
      <c r="K184" s="2" t="inlineStr">
        <is>
          <t>Isolated QA learning/model environment.</t>
        </is>
      </c>
      <c r="L184" s="2" t="inlineStr">
        <is>
          <t>frontend/src/app/pages/Feedback.tsx</t>
        </is>
      </c>
      <c r="M184" s="2" t="inlineStr">
        <is>
          <t>Not Run</t>
        </is>
      </c>
      <c r="N184" s="2" t="inlineStr"/>
      <c r="O184" s="2" t="inlineStr"/>
      <c r="P184" s="2" t="inlineStr"/>
      <c r="Q184" s="2" t="inlineStr"/>
      <c r="R184" s="2" t="inlineStr"/>
    </row>
    <row r="185" ht="110" customHeight="1">
      <c r="A185" s="3" t="inlineStr">
        <is>
          <t>TC-184</t>
        </is>
      </c>
      <c r="B185" s="3" t="inlineStr">
        <is>
          <t>F-064</t>
        </is>
      </c>
      <c r="C185" s="3" t="inlineStr">
        <is>
          <t>Feedback</t>
        </is>
      </c>
      <c r="D185" s="3" t="inlineStr">
        <is>
          <t>System recalibration</t>
        </is>
      </c>
      <c r="E185" s="3" t="inlineStr">
        <is>
          <t>Correctness / persistence</t>
        </is>
      </c>
      <c r="F185" s="3" t="inlineStr">
        <is>
          <t>P1</t>
        </is>
      </c>
      <c r="G185" s="3" t="inlineStr">
        <is>
          <t>Use approved QA environment, required fixtures and authorized QA account; open the feature location. For access tests begin in stated signed-out state.</t>
        </is>
      </c>
      <c r="H185" s="3" t="inlineStr">
        <is>
          <t>QA-FEEDBACK</t>
        </is>
      </c>
      <c r="I185" s="3" t="inlineStr">
        <is>
          <t>Compare reported outcome/version/time to backend job/audit evidence.</t>
        </is>
      </c>
      <c r="J185" s="3" t="inlineStr">
        <is>
          <t>Status refers to real completed work and correct input context.</t>
        </is>
      </c>
      <c r="K185" s="3" t="inlineStr">
        <is>
          <t>Isolated QA learning/model environment.</t>
        </is>
      </c>
      <c r="L185" s="3" t="inlineStr">
        <is>
          <t>frontend/src/app/pages/Feedback.tsx</t>
        </is>
      </c>
      <c r="M185" s="3" t="inlineStr">
        <is>
          <t>Not Run</t>
        </is>
      </c>
      <c r="N185" s="3" t="inlineStr"/>
      <c r="O185" s="3" t="inlineStr"/>
      <c r="P185" s="3" t="inlineStr"/>
      <c r="Q185" s="3" t="inlineStr"/>
      <c r="R185" s="3" t="inlineStr"/>
    </row>
    <row r="186" ht="110" customHeight="1">
      <c r="A186" s="2" t="inlineStr">
        <is>
          <t>TC-185</t>
        </is>
      </c>
      <c r="B186" s="2" t="inlineStr">
        <is>
          <t>F-065</t>
        </is>
      </c>
      <c r="C186" s="2" t="inlineStr">
        <is>
          <t>Audit</t>
        </is>
      </c>
      <c r="D186" s="2" t="inlineStr">
        <is>
          <t>Audit exploration and traceability</t>
        </is>
      </c>
      <c r="E186" s="2" t="inlineStr">
        <is>
          <t>Successful workflow</t>
        </is>
      </c>
      <c r="F186" s="2" t="inlineStr">
        <is>
          <t>P0</t>
        </is>
      </c>
      <c r="G186" s="2" t="inlineStr">
        <is>
          <t>Use approved QA environment, required fixtures and authorized QA account; open the feature location. For access tests begin in stated signed-out state.</t>
        </is>
      </c>
      <c r="H186" s="2" t="inlineStr">
        <is>
          <t>QA-AUDIT</t>
        </is>
      </c>
      <c r="I186" s="2" t="inlineStr">
        <is>
          <t>Perform known QA action; locate via scope, actor, module, status/date/search; open detail.</t>
        </is>
      </c>
      <c r="J186" s="2" t="inlineStr">
        <is>
          <t>Correct event identity, actor, action, target/time/status and safe metadata.</t>
        </is>
      </c>
      <c r="K186" s="2" t="inlineStr">
        <is>
          <t>Read-only; restore temporary QA filters/settings.</t>
        </is>
      </c>
      <c r="L186" s="2" t="inlineStr">
        <is>
          <t>frontend/src/app/pages/Audit.tsx</t>
        </is>
      </c>
      <c r="M186" s="2" t="inlineStr">
        <is>
          <t>Not Run</t>
        </is>
      </c>
      <c r="N186" s="2" t="inlineStr"/>
      <c r="O186" s="2" t="inlineStr"/>
      <c r="P186" s="2" t="inlineStr"/>
      <c r="Q186" s="2" t="inlineStr"/>
      <c r="R186" s="2" t="inlineStr"/>
    </row>
    <row r="187" ht="110" customHeight="1">
      <c r="A187" s="3" t="inlineStr">
        <is>
          <t>TC-186</t>
        </is>
      </c>
      <c r="B187" s="3" t="inlineStr">
        <is>
          <t>F-065</t>
        </is>
      </c>
      <c r="C187" s="3" t="inlineStr">
        <is>
          <t>Audit</t>
        </is>
      </c>
      <c r="D187" s="3" t="inlineStr">
        <is>
          <t>Audit exploration and traceability</t>
        </is>
      </c>
      <c r="E187" s="3" t="inlineStr">
        <is>
          <t>Validation / failure handling</t>
        </is>
      </c>
      <c r="F187" s="3" t="inlineStr">
        <is>
          <t>P0</t>
        </is>
      </c>
      <c r="G187" s="3" t="inlineStr">
        <is>
          <t>Use approved QA environment, required fixtures and authorized QA account; open the feature location. For access tests begin in stated signed-out state.</t>
        </is>
      </c>
      <c r="H187" s="3" t="inlineStr">
        <is>
          <t>QA-AUDIT</t>
        </is>
      </c>
      <c r="I187" s="3" t="inlineStr">
        <is>
          <t>Test no-match query, invalid date scope, empty log and failed request.</t>
        </is>
      </c>
      <c r="J187" s="3" t="inlineStr">
        <is>
          <t>Honest empty/error state; no stale/fabricated action.</t>
        </is>
      </c>
      <c r="K187" s="3" t="inlineStr">
        <is>
          <t>Read-only; restore temporary QA filters/settings.</t>
        </is>
      </c>
      <c r="L187" s="3" t="inlineStr">
        <is>
          <t>frontend/src/app/pages/Audit.tsx</t>
        </is>
      </c>
      <c r="M187" s="3" t="inlineStr">
        <is>
          <t>Not Run</t>
        </is>
      </c>
      <c r="N187" s="3" t="inlineStr"/>
      <c r="O187" s="3" t="inlineStr"/>
      <c r="P187" s="3" t="inlineStr"/>
      <c r="Q187" s="3" t="inlineStr"/>
      <c r="R187" s="3" t="inlineStr"/>
    </row>
    <row r="188" ht="110" customHeight="1">
      <c r="A188" s="2" t="inlineStr">
        <is>
          <t>TC-187</t>
        </is>
      </c>
      <c r="B188" s="2" t="inlineStr">
        <is>
          <t>F-065</t>
        </is>
      </c>
      <c r="C188" s="2" t="inlineStr">
        <is>
          <t>Audit</t>
        </is>
      </c>
      <c r="D188" s="2" t="inlineStr">
        <is>
          <t>Audit exploration and traceability</t>
        </is>
      </c>
      <c r="E188" s="2" t="inlineStr">
        <is>
          <t>Correctness / persistence</t>
        </is>
      </c>
      <c r="F188" s="2" t="inlineStr">
        <is>
          <t>P0</t>
        </is>
      </c>
      <c r="G188" s="2" t="inlineStr">
        <is>
          <t>Use approved QA environment, required fixtures and authorized QA account; open the feature location. For access tests begin in stated signed-out state.</t>
        </is>
      </c>
      <c r="H188" s="2" t="inlineStr">
        <is>
          <t>QA-AUDIT</t>
        </is>
      </c>
      <c r="I188" s="2" t="inlineStr">
        <is>
          <t>Reconcile owner/system counts, pages and selected detail with stored events.</t>
        </is>
      </c>
      <c r="J188" s="2" t="inlineStr">
        <is>
          <t>No success/failure mislabel, duplicate action or owner/system confusion.</t>
        </is>
      </c>
      <c r="K188" s="2" t="inlineStr">
        <is>
          <t>Read-only; restore temporary QA filters/settings.</t>
        </is>
      </c>
      <c r="L188" s="2" t="inlineStr">
        <is>
          <t>frontend/src/app/pages/Audit.tsx</t>
        </is>
      </c>
      <c r="M188" s="2" t="inlineStr">
        <is>
          <t>Not Run</t>
        </is>
      </c>
      <c r="N188" s="2" t="inlineStr"/>
      <c r="O188" s="2" t="inlineStr"/>
      <c r="P188" s="2" t="inlineStr"/>
      <c r="Q188" s="2" t="inlineStr"/>
      <c r="R188" s="2" t="inlineStr"/>
    </row>
    <row r="189" ht="110" customHeight="1">
      <c r="A189" s="3" t="inlineStr">
        <is>
          <t>TC-188</t>
        </is>
      </c>
      <c r="B189" s="3" t="inlineStr">
        <is>
          <t>F-066</t>
        </is>
      </c>
      <c r="C189" s="3" t="inlineStr">
        <is>
          <t>Audit</t>
        </is>
      </c>
      <c r="D189" s="3" t="inlineStr">
        <is>
          <t>Filtered audit CSV export</t>
        </is>
      </c>
      <c r="E189" s="3" t="inlineStr">
        <is>
          <t>Successful workflow</t>
        </is>
      </c>
      <c r="F189" s="3" t="inlineStr">
        <is>
          <t>P1</t>
        </is>
      </c>
      <c r="G189" s="3" t="inlineStr">
        <is>
          <t>Use approved QA environment, required fixtures and authorized QA account; open the feature location. For access tests begin in stated signed-out state.</t>
        </is>
      </c>
      <c r="H189" s="3" t="inlineStr">
        <is>
          <t>QA-AUDIT</t>
        </is>
      </c>
      <c r="I189" s="3" t="inlineStr">
        <is>
          <t>Set filters producing multi-page QA results; export filtered CSV.</t>
        </is>
      </c>
      <c r="J189" s="3" t="inlineStr">
        <is>
          <t>Defined filtered scope exported with correct headers/rows, not only unintended page.</t>
        </is>
      </c>
      <c r="K189" s="3" t="inlineStr">
        <is>
          <t>Read-only; restore temporary QA filters/settings.</t>
        </is>
      </c>
      <c r="L189" s="3" t="inlineStr">
        <is>
          <t>frontend/src/app/pages/Audit.tsx</t>
        </is>
      </c>
      <c r="M189" s="3" t="inlineStr">
        <is>
          <t>Not Run</t>
        </is>
      </c>
      <c r="N189" s="3" t="inlineStr"/>
      <c r="O189" s="3" t="inlineStr"/>
      <c r="P189" s="3" t="inlineStr"/>
      <c r="Q189" s="3" t="inlineStr"/>
      <c r="R189" s="3" t="inlineStr"/>
    </row>
    <row r="190" ht="110" customHeight="1">
      <c r="A190" s="2" t="inlineStr">
        <is>
          <t>TC-189</t>
        </is>
      </c>
      <c r="B190" s="2" t="inlineStr">
        <is>
          <t>F-066</t>
        </is>
      </c>
      <c r="C190" s="2" t="inlineStr">
        <is>
          <t>Audit</t>
        </is>
      </c>
      <c r="D190" s="2" t="inlineStr">
        <is>
          <t>Filtered audit CSV export</t>
        </is>
      </c>
      <c r="E190" s="2" t="inlineStr">
        <is>
          <t>Validation / failure handling</t>
        </is>
      </c>
      <c r="F190" s="2" t="inlineStr">
        <is>
          <t>P1</t>
        </is>
      </c>
      <c r="G190" s="2" t="inlineStr">
        <is>
          <t>Use approved QA environment, required fixtures and authorized QA account; open the feature location. For access tests begin in stated signed-out state.</t>
        </is>
      </c>
      <c r="H190" s="2" t="inlineStr">
        <is>
          <t>QA-AUDIT</t>
        </is>
      </c>
      <c r="I190" s="2" t="inlineStr">
        <is>
          <t>Test empty scope and text with commas/newlines/formula-leading characters.</t>
        </is>
      </c>
      <c r="J190" s="2" t="inlineStr">
        <is>
          <t>Valid empty/file behavior; CSV structure safe; no formula execution.</t>
        </is>
      </c>
      <c r="K190" s="2" t="inlineStr">
        <is>
          <t>Read-only; restore temporary QA filters/settings.</t>
        </is>
      </c>
      <c r="L190" s="2" t="inlineStr">
        <is>
          <t>frontend/src/app/pages/Audit.tsx</t>
        </is>
      </c>
      <c r="M190" s="2" t="inlineStr">
        <is>
          <t>Not Run</t>
        </is>
      </c>
      <c r="N190" s="2" t="inlineStr"/>
      <c r="O190" s="2" t="inlineStr"/>
      <c r="P190" s="2" t="inlineStr"/>
      <c r="Q190" s="2" t="inlineStr"/>
      <c r="R190" s="2" t="inlineStr"/>
    </row>
    <row r="191" ht="110" customHeight="1">
      <c r="A191" s="3" t="inlineStr">
        <is>
          <t>TC-190</t>
        </is>
      </c>
      <c r="B191" s="3" t="inlineStr">
        <is>
          <t>F-066</t>
        </is>
      </c>
      <c r="C191" s="3" t="inlineStr">
        <is>
          <t>Audit</t>
        </is>
      </c>
      <c r="D191" s="3" t="inlineStr">
        <is>
          <t>Filtered audit CSV export</t>
        </is>
      </c>
      <c r="E191" s="3" t="inlineStr">
        <is>
          <t>Correctness / persistence</t>
        </is>
      </c>
      <c r="F191" s="3" t="inlineStr">
        <is>
          <t>P1</t>
        </is>
      </c>
      <c r="G191" s="3" t="inlineStr">
        <is>
          <t>Use approved QA environment, required fixtures and authorized QA account; open the feature location. For access tests begin in stated signed-out state.</t>
        </is>
      </c>
      <c r="H191" s="3" t="inlineStr">
        <is>
          <t>QA-AUDIT</t>
        </is>
      </c>
      <c r="I191" s="3" t="inlineStr">
        <is>
          <t>Compare export IDs/counts/status/time to filtered source query.</t>
        </is>
      </c>
      <c r="J191" s="3" t="inlineStr">
        <is>
          <t>Export faithfully preserves selected scope and values; no secrets.</t>
        </is>
      </c>
      <c r="K191" s="3" t="inlineStr">
        <is>
          <t>Read-only; restore temporary QA filters/settings.</t>
        </is>
      </c>
      <c r="L191" s="3" t="inlineStr">
        <is>
          <t>frontend/src/app/pages/Audit.tsx</t>
        </is>
      </c>
      <c r="M191" s="3" t="inlineStr">
        <is>
          <t>Not Run</t>
        </is>
      </c>
      <c r="N191" s="3" t="inlineStr"/>
      <c r="O191" s="3" t="inlineStr"/>
      <c r="P191" s="3" t="inlineStr"/>
      <c r="Q191" s="3" t="inlineStr"/>
      <c r="R191" s="3" t="inlineStr"/>
    </row>
    <row r="192" ht="110" customHeight="1">
      <c r="A192" s="2" t="inlineStr">
        <is>
          <t>TC-191</t>
        </is>
      </c>
      <c r="B192" s="2" t="inlineStr">
        <is>
          <t>F-067</t>
        </is>
      </c>
      <c r="C192" s="2" t="inlineStr">
        <is>
          <t>Settings</t>
        </is>
      </c>
      <c r="D192" s="2" t="inlineStr">
        <is>
          <t>Business profile and operating preferences</t>
        </is>
      </c>
      <c r="E192" s="2" t="inlineStr">
        <is>
          <t>Successful workflow</t>
        </is>
      </c>
      <c r="F192" s="2" t="inlineStr">
        <is>
          <t>P1</t>
        </is>
      </c>
      <c r="G192" s="2" t="inlineStr">
        <is>
          <t>Use approved QA environment, required fixtures and authorized QA account; open the feature location. For access tests begin in stated signed-out state.</t>
        </is>
      </c>
      <c r="H192" s="2" t="inlineStr">
        <is>
          <t>QA-SETTINGS</t>
        </is>
      </c>
      <c r="I192" s="2" t="inlineStr">
        <is>
          <t>Record originals; change profile fields and supported operating preferences; Save; reload.</t>
        </is>
      </c>
      <c r="J192" s="2" t="inlineStr">
        <is>
          <t>Settings persist at documented scope; intended bound UI reflects them.</t>
        </is>
      </c>
      <c r="K192" s="2" t="inlineStr">
        <is>
          <t>Record and restore originals.</t>
        </is>
      </c>
      <c r="L192" s="2" t="inlineStr">
        <is>
          <t>frontend/src/app/pages/Settings.tsx</t>
        </is>
      </c>
      <c r="M192" s="2" t="inlineStr">
        <is>
          <t>Not Run</t>
        </is>
      </c>
      <c r="N192" s="2" t="inlineStr"/>
      <c r="O192" s="2" t="inlineStr"/>
      <c r="P192" s="2" t="inlineStr"/>
      <c r="Q192" s="2" t="inlineStr"/>
      <c r="R192" s="2" t="inlineStr"/>
    </row>
    <row r="193" ht="110" customHeight="1">
      <c r="A193" s="3" t="inlineStr">
        <is>
          <t>TC-192</t>
        </is>
      </c>
      <c r="B193" s="3" t="inlineStr">
        <is>
          <t>F-067</t>
        </is>
      </c>
      <c r="C193" s="3" t="inlineStr">
        <is>
          <t>Settings</t>
        </is>
      </c>
      <c r="D193" s="3" t="inlineStr">
        <is>
          <t>Business profile and operating preferences</t>
        </is>
      </c>
      <c r="E193" s="3" t="inlineStr">
        <is>
          <t>Validation / failure handling</t>
        </is>
      </c>
      <c r="F193" s="3" t="inlineStr">
        <is>
          <t>P1</t>
        </is>
      </c>
      <c r="G193" s="3" t="inlineStr">
        <is>
          <t>Use approved QA environment, required fixtures and authorized QA account; open the feature location. For access tests begin in stated signed-out state.</t>
        </is>
      </c>
      <c r="H193" s="3" t="inlineStr">
        <is>
          <t>QA-SETTINGS</t>
        </is>
      </c>
      <c r="I193" s="3" t="inlineStr">
        <is>
          <t>Test blank required fields, invalid hours and failed save.</t>
        </is>
      </c>
      <c r="J193" s="3" t="inlineStr">
        <is>
          <t>Invalid settings blocked/explicit policy; no false success or unrelated reset.</t>
        </is>
      </c>
      <c r="K193" s="3" t="inlineStr">
        <is>
          <t>Record and restore originals.</t>
        </is>
      </c>
      <c r="L193" s="3" t="inlineStr">
        <is>
          <t>frontend/src/app/pages/Settings.tsx</t>
        </is>
      </c>
      <c r="M193" s="3" t="inlineStr">
        <is>
          <t>Not Run</t>
        </is>
      </c>
      <c r="N193" s="3" t="inlineStr"/>
      <c r="O193" s="3" t="inlineStr"/>
      <c r="P193" s="3" t="inlineStr"/>
      <c r="Q193" s="3" t="inlineStr"/>
      <c r="R193" s="3" t="inlineStr"/>
    </row>
    <row r="194" ht="110" customHeight="1">
      <c r="A194" s="2" t="inlineStr">
        <is>
          <t>TC-193</t>
        </is>
      </c>
      <c r="B194" s="2" t="inlineStr">
        <is>
          <t>F-067</t>
        </is>
      </c>
      <c r="C194" s="2" t="inlineStr">
        <is>
          <t>Settings</t>
        </is>
      </c>
      <c r="D194" s="2" t="inlineStr">
        <is>
          <t>Business profile and operating preferences</t>
        </is>
      </c>
      <c r="E194" s="2" t="inlineStr">
        <is>
          <t>Correctness / persistence</t>
        </is>
      </c>
      <c r="F194" s="2" t="inlineStr">
        <is>
          <t>P1</t>
        </is>
      </c>
      <c r="G194" s="2" t="inlineStr">
        <is>
          <t>Use approved QA environment, required fixtures and authorized QA account; open the feature location. For access tests begin in stated signed-out state.</t>
        </is>
      </c>
      <c r="H194" s="2" t="inlineStr">
        <is>
          <t>QA-SETTINGS</t>
        </is>
      </c>
      <c r="I194" s="2" t="inlineStr">
        <is>
          <t>Compare saved/read-back values; restore originals; inspect provider/system factual metadata against reality.</t>
        </is>
      </c>
      <c r="J194" s="2" t="inlineStr">
        <is>
          <t>Exact setting persistence; static/demo health/model/count claims labeled or logged as defects.</t>
        </is>
      </c>
      <c r="K194" s="2" t="inlineStr">
        <is>
          <t>Record and restore originals.</t>
        </is>
      </c>
      <c r="L194" s="2" t="inlineStr">
        <is>
          <t>frontend/src/app/pages/Settings.tsx</t>
        </is>
      </c>
      <c r="M194" s="2" t="inlineStr">
        <is>
          <t>Not Run</t>
        </is>
      </c>
      <c r="N194" s="2" t="inlineStr"/>
      <c r="O194" s="2" t="inlineStr"/>
      <c r="P194" s="2" t="inlineStr"/>
      <c r="Q194" s="2" t="inlineStr"/>
      <c r="R194" s="2" t="inlineStr"/>
    </row>
    <row r="195" ht="110" customHeight="1">
      <c r="A195" s="3" t="inlineStr">
        <is>
          <t>TC-194</t>
        </is>
      </c>
      <c r="B195" s="3" t="inlineStr">
        <is>
          <t>F-068</t>
        </is>
      </c>
      <c r="C195" s="3" t="inlineStr">
        <is>
          <t>Settings</t>
        </is>
      </c>
      <c r="D195" s="3" t="inlineStr">
        <is>
          <t>Theme and dashboard personalization</t>
        </is>
      </c>
      <c r="E195" s="3" t="inlineStr">
        <is>
          <t>Successful workflow</t>
        </is>
      </c>
      <c r="F195" s="3" t="inlineStr">
        <is>
          <t>P1</t>
        </is>
      </c>
      <c r="G195" s="3" t="inlineStr">
        <is>
          <t>Use approved QA environment, required fixtures and authorized QA account; open the feature location. For access tests begin in stated signed-out state.</t>
        </is>
      </c>
      <c r="H195" s="3" t="inlineStr">
        <is>
          <t>QA-SETTINGS</t>
        </is>
      </c>
      <c r="I195" s="3" t="inlineStr">
        <is>
          <t>Change light/dark/preset/custom theme and compact/sidebar/explanation/demo preferences; navigate/reload.</t>
        </is>
      </c>
      <c r="J195" s="3" t="inlineStr">
        <is>
          <t>Correct applied appearance/preferences remain usable and persist.</t>
        </is>
      </c>
      <c r="K195" s="3" t="inlineStr">
        <is>
          <t>Restore original theme/layout.</t>
        </is>
      </c>
      <c r="L195" s="3" t="inlineStr">
        <is>
          <t>frontend/src/app/pages/Settings.tsx</t>
        </is>
      </c>
      <c r="M195" s="3" t="inlineStr">
        <is>
          <t>Not Run</t>
        </is>
      </c>
      <c r="N195" s="3" t="inlineStr"/>
      <c r="O195" s="3" t="inlineStr"/>
      <c r="P195" s="3" t="inlineStr"/>
      <c r="Q195" s="3" t="inlineStr"/>
      <c r="R195" s="3" t="inlineStr"/>
    </row>
    <row r="196" ht="110" customHeight="1">
      <c r="A196" s="2" t="inlineStr">
        <is>
          <t>TC-195</t>
        </is>
      </c>
      <c r="B196" s="2" t="inlineStr">
        <is>
          <t>F-068</t>
        </is>
      </c>
      <c r="C196" s="2" t="inlineStr">
        <is>
          <t>Settings</t>
        </is>
      </c>
      <c r="D196" s="2" t="inlineStr">
        <is>
          <t>Theme and dashboard personalization</t>
        </is>
      </c>
      <c r="E196" s="2" t="inlineStr">
        <is>
          <t>Validation / failure handling</t>
        </is>
      </c>
      <c r="F196" s="2" t="inlineStr">
        <is>
          <t>P1</t>
        </is>
      </c>
      <c r="G196" s="2" t="inlineStr">
        <is>
          <t>Use approved QA environment, required fixtures and authorized QA account; open the feature location. For access tests begin in stated signed-out state.</t>
        </is>
      </c>
      <c r="H196" s="2" t="inlineStr">
        <is>
          <t>QA-SETTINGS</t>
        </is>
      </c>
      <c r="I196" s="2" t="inlineStr">
        <is>
          <t>Try invalid manual hex and conflicting manual/preset choices.</t>
        </is>
      </c>
      <c r="J196" s="2" t="inlineStr">
        <is>
          <t>Validation/fallback clear; no broken/unreadable UI or unrelated preference loss.</t>
        </is>
      </c>
      <c r="K196" s="2" t="inlineStr">
        <is>
          <t>Restore original theme/layout.</t>
        </is>
      </c>
      <c r="L196" s="2" t="inlineStr">
        <is>
          <t>frontend/src/app/pages/Settings.tsx</t>
        </is>
      </c>
      <c r="M196" s="2" t="inlineStr">
        <is>
          <t>Not Run</t>
        </is>
      </c>
      <c r="N196" s="2" t="inlineStr"/>
      <c r="O196" s="2" t="inlineStr"/>
      <c r="P196" s="2" t="inlineStr"/>
      <c r="Q196" s="2" t="inlineStr"/>
      <c r="R196" s="2" t="inlineStr"/>
    </row>
    <row r="197" ht="110" customHeight="1">
      <c r="A197" s="3" t="inlineStr">
        <is>
          <t>TC-196</t>
        </is>
      </c>
      <c r="B197" s="3" t="inlineStr">
        <is>
          <t>F-068</t>
        </is>
      </c>
      <c r="C197" s="3" t="inlineStr">
        <is>
          <t>Settings</t>
        </is>
      </c>
      <c r="D197" s="3" t="inlineStr">
        <is>
          <t>Theme and dashboard personalization</t>
        </is>
      </c>
      <c r="E197" s="3" t="inlineStr">
        <is>
          <t>Correctness / persistence</t>
        </is>
      </c>
      <c r="F197" s="3" t="inlineStr">
        <is>
          <t>P1</t>
        </is>
      </c>
      <c r="G197" s="3" t="inlineStr">
        <is>
          <t>Use approved QA environment, required fixtures and authorized QA account; open the feature location. For access tests begin in stated signed-out state.</t>
        </is>
      </c>
      <c r="H197" s="3" t="inlineStr">
        <is>
          <t>QA-SETTINGS</t>
        </is>
      </c>
      <c r="I197" s="3" t="inlineStr">
        <is>
          <t>Inspect all main pages at desktop/mobile widths; restore original preferences.</t>
        </is>
      </c>
      <c r="J197" s="3" t="inlineStr">
        <is>
          <t>Text/charts/selected/error/disabled states legible; saved settings match active UI.</t>
        </is>
      </c>
      <c r="K197" s="3" t="inlineStr">
        <is>
          <t>Restore original theme/layout.</t>
        </is>
      </c>
      <c r="L197" s="3" t="inlineStr">
        <is>
          <t>frontend/src/app/pages/Settings.tsx</t>
        </is>
      </c>
      <c r="M197" s="3" t="inlineStr">
        <is>
          <t>Not Run</t>
        </is>
      </c>
      <c r="N197" s="3" t="inlineStr"/>
      <c r="O197" s="3" t="inlineStr"/>
      <c r="P197" s="3" t="inlineStr"/>
      <c r="Q197" s="3" t="inlineStr"/>
      <c r="R197" s="3" t="inlineStr"/>
    </row>
    <row r="198" ht="110" customHeight="1">
      <c r="A198" s="2" t="inlineStr">
        <is>
          <t>TC-197</t>
        </is>
      </c>
      <c r="B198" s="2" t="inlineStr">
        <is>
          <t>F-069</t>
        </is>
      </c>
      <c r="C198" s="2" t="inlineStr">
        <is>
          <t>Settings</t>
        </is>
      </c>
      <c r="D198" s="2" t="inlineStr">
        <is>
          <t>Notification preferences and alert thresholds</t>
        </is>
      </c>
      <c r="E198" s="2" t="inlineStr">
        <is>
          <t>Successful workflow</t>
        </is>
      </c>
      <c r="F198" s="2" t="inlineStr">
        <is>
          <t>P1</t>
        </is>
      </c>
      <c r="G198" s="2" t="inlineStr">
        <is>
          <t>Use approved QA environment, required fixtures and authorized QA account; open the feature location. For access tests begin in stated signed-out state.</t>
        </is>
      </c>
      <c r="H198" s="2" t="inlineStr">
        <is>
          <t>QA-ALERTS / QA-SETTINGS</t>
        </is>
      </c>
      <c r="I198" s="2" t="inlineStr">
        <is>
          <t>Toggle each supported notification family; set valid QA thresholds; save; evaluate applicable QA alerts.</t>
        </is>
      </c>
      <c r="J198" s="2" t="inlineStr">
        <is>
          <t>Preferences/thresholds persist and affected UI/rules follow documented direction/units.</t>
        </is>
      </c>
      <c r="K198" s="2" t="inlineStr">
        <is>
          <t>Restore original rules and preferences.</t>
        </is>
      </c>
      <c r="L198" s="2" t="inlineStr">
        <is>
          <t>frontend/src/app/pages/Settings.tsx</t>
        </is>
      </c>
      <c r="M198" s="2" t="inlineStr">
        <is>
          <t>Not Run</t>
        </is>
      </c>
      <c r="N198" s="2" t="inlineStr"/>
      <c r="O198" s="2" t="inlineStr"/>
      <c r="P198" s="2" t="inlineStr"/>
      <c r="Q198" s="2" t="inlineStr"/>
      <c r="R198" s="2" t="inlineStr"/>
    </row>
    <row r="199" ht="110" customHeight="1">
      <c r="A199" s="3" t="inlineStr">
        <is>
          <t>TC-198</t>
        </is>
      </c>
      <c r="B199" s="3" t="inlineStr">
        <is>
          <t>F-069</t>
        </is>
      </c>
      <c r="C199" s="3" t="inlineStr">
        <is>
          <t>Settings</t>
        </is>
      </c>
      <c r="D199" s="3" t="inlineStr">
        <is>
          <t>Notification preferences and alert thresholds</t>
        </is>
      </c>
      <c r="E199" s="3" t="inlineStr">
        <is>
          <t>Validation / failure handling</t>
        </is>
      </c>
      <c r="F199" s="3" t="inlineStr">
        <is>
          <t>P1</t>
        </is>
      </c>
      <c r="G199" s="3" t="inlineStr">
        <is>
          <t>Use approved QA environment, required fixtures and authorized QA account; open the feature location. For access tests begin in stated signed-out state.</t>
        </is>
      </c>
      <c r="H199" s="3" t="inlineStr">
        <is>
          <t>QA-ALERTS / QA-SETTINGS</t>
        </is>
      </c>
      <c r="I199" s="3" t="inlineStr">
        <is>
          <t>Test allowed boundaries and failed persistence; disable all notification families.</t>
        </is>
      </c>
      <c r="J199" s="3" t="inlineStr">
        <is>
          <t>No invalid threshold or false save; visible state distinguishes disabled vs nonexistent alerts.</t>
        </is>
      </c>
      <c r="K199" s="3" t="inlineStr">
        <is>
          <t>Restore original rules and preferences.</t>
        </is>
      </c>
      <c r="L199" s="3" t="inlineStr">
        <is>
          <t>frontend/src/app/pages/Settings.tsx</t>
        </is>
      </c>
      <c r="M199" s="3" t="inlineStr">
        <is>
          <t>Not Run</t>
        </is>
      </c>
      <c r="N199" s="3" t="inlineStr"/>
      <c r="O199" s="3" t="inlineStr"/>
      <c r="P199" s="3" t="inlineStr"/>
      <c r="Q199" s="3" t="inlineStr"/>
      <c r="R199" s="3" t="inlineStr"/>
    </row>
    <row r="200" ht="110" customHeight="1">
      <c r="A200" s="2" t="inlineStr">
        <is>
          <t>TC-199</t>
        </is>
      </c>
      <c r="B200" s="2" t="inlineStr">
        <is>
          <t>F-069</t>
        </is>
      </c>
      <c r="C200" s="2" t="inlineStr">
        <is>
          <t>Settings</t>
        </is>
      </c>
      <c r="D200" s="2" t="inlineStr">
        <is>
          <t>Notification preferences and alert thresholds</t>
        </is>
      </c>
      <c r="E200" s="2" t="inlineStr">
        <is>
          <t>Correctness / persistence</t>
        </is>
      </c>
      <c r="F200" s="2" t="inlineStr">
        <is>
          <t>P1</t>
        </is>
      </c>
      <c r="G200" s="2" t="inlineStr">
        <is>
          <t>Use approved QA environment, required fixtures and authorized QA account; open the feature location. For access tests begin in stated signed-out state.</t>
        </is>
      </c>
      <c r="H200" s="2" t="inlineStr">
        <is>
          <t>QA-ALERTS / QA-SETTINGS</t>
        </is>
      </c>
      <c r="I200" s="2" t="inlineStr">
        <is>
          <t>Reload and compare saved values and eligible alert evaluation.</t>
        </is>
      </c>
      <c r="J200" s="2" t="inlineStr">
        <is>
          <t>Correct family scope; no unrelated notification changes.</t>
        </is>
      </c>
      <c r="K200" s="2" t="inlineStr">
        <is>
          <t>Restore original rules and preferences.</t>
        </is>
      </c>
      <c r="L200" s="2" t="inlineStr">
        <is>
          <t>frontend/src/app/pages/Settings.tsx</t>
        </is>
      </c>
      <c r="M200" s="2" t="inlineStr">
        <is>
          <t>Not Run</t>
        </is>
      </c>
      <c r="N200" s="2" t="inlineStr"/>
      <c r="O200" s="2" t="inlineStr"/>
      <c r="P200" s="2" t="inlineStr"/>
      <c r="Q200" s="2" t="inlineStr"/>
      <c r="R200" s="2" t="inlineStr"/>
    </row>
    <row r="201" ht="110" customHeight="1">
      <c r="A201" s="3" t="inlineStr">
        <is>
          <t>TC-200</t>
        </is>
      </c>
      <c r="B201" s="3" t="inlineStr">
        <is>
          <t>F-070</t>
        </is>
      </c>
      <c r="C201" s="3" t="inlineStr">
        <is>
          <t>Settings</t>
        </is>
      </c>
      <c r="D201" s="3" t="inlineStr">
        <is>
          <t>Dataset export</t>
        </is>
      </c>
      <c r="E201" s="3" t="inlineStr">
        <is>
          <t>Successful workflow</t>
        </is>
      </c>
      <c r="F201" s="3" t="inlineStr">
        <is>
          <t>P1</t>
        </is>
      </c>
      <c r="G201" s="3" t="inlineStr">
        <is>
          <t>Use approved QA environment, required fixtures and authorized QA account; open the feature location. For access tests begin in stated signed-out state.</t>
        </is>
      </c>
      <c r="H201" s="3" t="inlineStr">
        <is>
          <t>QA-SETTINGS</t>
        </is>
      </c>
      <c r="I201" s="3" t="inlineStr">
        <is>
          <t>Select allowed datasets; export JSON and eligible CSV; open files.</t>
        </is>
      </c>
      <c r="J201" s="3" t="inlineStr">
        <is>
          <t>Valid format and intended dataset scope, with accurate record content.</t>
        </is>
      </c>
      <c r="K201" s="3" t="inlineStr">
        <is>
          <t>QA data only; protect exports.</t>
        </is>
      </c>
      <c r="L201" s="3" t="inlineStr">
        <is>
          <t>frontend/src/app/pages/Settings.tsx</t>
        </is>
      </c>
      <c r="M201" s="3" t="inlineStr">
        <is>
          <t>Not Run</t>
        </is>
      </c>
      <c r="N201" s="3" t="inlineStr"/>
      <c r="O201" s="3" t="inlineStr"/>
      <c r="P201" s="3" t="inlineStr"/>
      <c r="Q201" s="3" t="inlineStr"/>
      <c r="R201" s="3" t="inlineStr"/>
    </row>
    <row r="202" ht="110" customHeight="1">
      <c r="A202" s="2" t="inlineStr">
        <is>
          <t>TC-201</t>
        </is>
      </c>
      <c r="B202" s="2" t="inlineStr">
        <is>
          <t>F-070</t>
        </is>
      </c>
      <c r="C202" s="2" t="inlineStr">
        <is>
          <t>Settings</t>
        </is>
      </c>
      <c r="D202" s="2" t="inlineStr">
        <is>
          <t>Dataset export</t>
        </is>
      </c>
      <c r="E202" s="2" t="inlineStr">
        <is>
          <t>Validation / failure handling</t>
        </is>
      </c>
      <c r="F202" s="2" t="inlineStr">
        <is>
          <t>P1</t>
        </is>
      </c>
      <c r="G202" s="2" t="inlineStr">
        <is>
          <t>Use approved QA environment, required fixtures and authorized QA account; open the feature location. For access tests begin in stated signed-out state.</t>
        </is>
      </c>
      <c r="H202" s="2" t="inlineStr">
        <is>
          <t>QA-SETTINGS</t>
        </is>
      </c>
      <c r="I202" s="2" t="inlineStr">
        <is>
          <t>Try no selection, unsupported nested CSV dataset and export failure.</t>
        </is>
      </c>
      <c r="J202" s="2" t="inlineStr">
        <is>
          <t>Clear restriction/error; no misleading partial or corrupt success file.</t>
        </is>
      </c>
      <c r="K202" s="2" t="inlineStr">
        <is>
          <t>QA data only; protect exports.</t>
        </is>
      </c>
      <c r="L202" s="2" t="inlineStr">
        <is>
          <t>frontend/src/app/pages/Settings.tsx</t>
        </is>
      </c>
      <c r="M202" s="2" t="inlineStr">
        <is>
          <t>Not Run</t>
        </is>
      </c>
      <c r="N202" s="2" t="inlineStr"/>
      <c r="O202" s="2" t="inlineStr"/>
      <c r="P202" s="2" t="inlineStr"/>
      <c r="Q202" s="2" t="inlineStr"/>
      <c r="R202" s="2" t="inlineStr"/>
    </row>
    <row r="203" ht="110" customHeight="1">
      <c r="A203" s="3" t="inlineStr">
        <is>
          <t>TC-202</t>
        </is>
      </c>
      <c r="B203" s="3" t="inlineStr">
        <is>
          <t>F-070</t>
        </is>
      </c>
      <c r="C203" s="3" t="inlineStr">
        <is>
          <t>Settings</t>
        </is>
      </c>
      <c r="D203" s="3" t="inlineStr">
        <is>
          <t>Dataset export</t>
        </is>
      </c>
      <c r="E203" s="3" t="inlineStr">
        <is>
          <t>Correctness / persistence</t>
        </is>
      </c>
      <c r="F203" s="3" t="inlineStr">
        <is>
          <t>P1</t>
        </is>
      </c>
      <c r="G203" s="3" t="inlineStr">
        <is>
          <t>Use approved QA environment, required fixtures and authorized QA account; open the feature location. For access tests begin in stated signed-out state.</t>
        </is>
      </c>
      <c r="H203" s="3" t="inlineStr">
        <is>
          <t>QA-SETTINGS</t>
        </is>
      </c>
      <c r="I203" s="3" t="inlineStr">
        <is>
          <t>Compare selected datasets/counts and verify no passwords/private tokens/keys exported.</t>
        </is>
      </c>
      <c r="J203" s="3" t="inlineStr">
        <is>
          <t>Scope, encoding and privacy correct; unselected datasets absent.</t>
        </is>
      </c>
      <c r="K203" s="3" t="inlineStr">
        <is>
          <t>QA data only; protect exports.</t>
        </is>
      </c>
      <c r="L203" s="3" t="inlineStr">
        <is>
          <t>frontend/src/app/pages/Settings.tsx</t>
        </is>
      </c>
      <c r="M203" s="3" t="inlineStr">
        <is>
          <t>Not Run</t>
        </is>
      </c>
      <c r="N203" s="3" t="inlineStr"/>
      <c r="O203" s="3" t="inlineStr"/>
      <c r="P203" s="3" t="inlineStr"/>
      <c r="Q203" s="3" t="inlineStr"/>
      <c r="R203" s="3" t="inlineStr"/>
    </row>
    <row r="204" ht="110" customHeight="1">
      <c r="A204" s="2" t="inlineStr">
        <is>
          <t>TC-203</t>
        </is>
      </c>
      <c r="B204" s="2" t="inlineStr">
        <is>
          <t>F-071</t>
        </is>
      </c>
      <c r="C204" s="2" t="inlineStr">
        <is>
          <t>Settings</t>
        </is>
      </c>
      <c r="D204" s="2" t="inlineStr">
        <is>
          <t>Data retention policy</t>
        </is>
      </c>
      <c r="E204" s="2" t="inlineStr">
        <is>
          <t>Successful workflow</t>
        </is>
      </c>
      <c r="F204" s="2" t="inlineStr">
        <is>
          <t>P1</t>
        </is>
      </c>
      <c r="G204" s="2" t="inlineStr">
        <is>
          <t>Use approved QA environment, required fixtures and authorized QA account; open the feature location. For access tests begin in stated signed-out state.</t>
        </is>
      </c>
      <c r="H204" s="2" t="inlineStr">
        <is>
          <t>QA-SETTINGS</t>
        </is>
      </c>
      <c r="I204" s="2" t="inlineStr">
        <is>
          <t>On disposable QA DB with backup, change retention and confirm Apply Duration.</t>
        </is>
      </c>
      <c r="J204" s="2" t="inlineStr">
        <is>
          <t>Only policy-eligible data affected; chosen duration and actual outcome recorded.</t>
        </is>
      </c>
      <c r="K204" s="2" t="inlineStr">
        <is>
          <t>Destructive: disposable QA DB and verified restore only.</t>
        </is>
      </c>
      <c r="L204" s="2" t="inlineStr">
        <is>
          <t>frontend/src/app/pages/Settings.tsx</t>
        </is>
      </c>
      <c r="M204" s="2" t="inlineStr">
        <is>
          <t>Not Run</t>
        </is>
      </c>
      <c r="N204" s="2" t="inlineStr"/>
      <c r="O204" s="2" t="inlineStr"/>
      <c r="P204" s="2" t="inlineStr"/>
      <c r="Q204" s="2" t="inlineStr"/>
      <c r="R204" s="2" t="inlineStr"/>
    </row>
    <row r="205" ht="110" customHeight="1">
      <c r="A205" s="3" t="inlineStr">
        <is>
          <t>TC-204</t>
        </is>
      </c>
      <c r="B205" s="3" t="inlineStr">
        <is>
          <t>F-071</t>
        </is>
      </c>
      <c r="C205" s="3" t="inlineStr">
        <is>
          <t>Settings</t>
        </is>
      </c>
      <c r="D205" s="3" t="inlineStr">
        <is>
          <t>Data retention policy</t>
        </is>
      </c>
      <c r="E205" s="3" t="inlineStr">
        <is>
          <t>Validation / failure handling</t>
        </is>
      </c>
      <c r="F205" s="3" t="inlineStr">
        <is>
          <t>P1</t>
        </is>
      </c>
      <c r="G205" s="3" t="inlineStr">
        <is>
          <t>Use approved QA environment, required fixtures and authorized QA account; open the feature location. For access tests begin in stated signed-out state.</t>
        </is>
      </c>
      <c r="H205" s="3" t="inlineStr">
        <is>
          <t>QA-SETTINGS</t>
        </is>
      </c>
      <c r="I205" s="3" t="inlineStr">
        <is>
          <t>Cancel pending retention; test failed operation.</t>
        </is>
      </c>
      <c r="J205" s="3" t="inlineStr">
        <is>
          <t>No deletion merely from slider/draft; cancel/failure never falsely reports completed pruning.</t>
        </is>
      </c>
      <c r="K205" s="3" t="inlineStr">
        <is>
          <t>Destructive: disposable QA DB and verified restore only.</t>
        </is>
      </c>
      <c r="L205" s="3" t="inlineStr">
        <is>
          <t>frontend/src/app/pages/Settings.tsx</t>
        </is>
      </c>
      <c r="M205" s="3" t="inlineStr">
        <is>
          <t>Not Run</t>
        </is>
      </c>
      <c r="N205" s="3" t="inlineStr"/>
      <c r="O205" s="3" t="inlineStr"/>
      <c r="P205" s="3" t="inlineStr"/>
      <c r="Q205" s="3" t="inlineStr"/>
      <c r="R205" s="3" t="inlineStr"/>
    </row>
    <row r="206" ht="110" customHeight="1">
      <c r="A206" s="2" t="inlineStr">
        <is>
          <t>TC-205</t>
        </is>
      </c>
      <c r="B206" s="2" t="inlineStr">
        <is>
          <t>F-071</t>
        </is>
      </c>
      <c r="C206" s="2" t="inlineStr">
        <is>
          <t>Settings</t>
        </is>
      </c>
      <c r="D206" s="2" t="inlineStr">
        <is>
          <t>Data retention policy</t>
        </is>
      </c>
      <c r="E206" s="2" t="inlineStr">
        <is>
          <t>Correctness / persistence</t>
        </is>
      </c>
      <c r="F206" s="2" t="inlineStr">
        <is>
          <t>P1</t>
        </is>
      </c>
      <c r="G206" s="2" t="inlineStr">
        <is>
          <t>Use approved QA environment, required fixtures and authorized QA account; open the feature location. For access tests begin in stated signed-out state.</t>
        </is>
      </c>
      <c r="H206" s="2" t="inlineStr">
        <is>
          <t>QA-SETTINGS</t>
        </is>
      </c>
      <c r="I206" s="2" t="inlineStr">
        <is>
          <t>Compare before/after eligible/current/unrelated data and audit; restore fixture.</t>
        </is>
      </c>
      <c r="J206" s="2" t="inlineStr">
        <is>
          <t>Deletion boundaries and retained records exactly follow policy.</t>
        </is>
      </c>
      <c r="K206" s="2" t="inlineStr">
        <is>
          <t>Destructive: disposable QA DB and verified restore only.</t>
        </is>
      </c>
      <c r="L206" s="2" t="inlineStr">
        <is>
          <t>frontend/src/app/pages/Settings.tsx</t>
        </is>
      </c>
      <c r="M206" s="2" t="inlineStr">
        <is>
          <t>Not Run</t>
        </is>
      </c>
      <c r="N206" s="2" t="inlineStr"/>
      <c r="O206" s="2" t="inlineStr"/>
      <c r="P206" s="2" t="inlineStr"/>
      <c r="Q206" s="2" t="inlineStr"/>
      <c r="R206" s="2" t="inlineStr"/>
    </row>
    <row r="207" ht="110" customHeight="1">
      <c r="A207" s="3" t="inlineStr">
        <is>
          <t>TC-206</t>
        </is>
      </c>
      <c r="B207" s="3" t="inlineStr">
        <is>
          <t>F-072</t>
        </is>
      </c>
      <c r="C207" s="3" t="inlineStr">
        <is>
          <t>Settings</t>
        </is>
      </c>
      <c r="D207" s="3" t="inlineStr">
        <is>
          <t>Password and session security settings</t>
        </is>
      </c>
      <c r="E207" s="3" t="inlineStr">
        <is>
          <t>Successful workflow</t>
        </is>
      </c>
      <c r="F207" s="3" t="inlineStr">
        <is>
          <t>P1</t>
        </is>
      </c>
      <c r="G207" s="3" t="inlineStr">
        <is>
          <t>Use approved QA environment, required fixtures and authorized QA account; open the feature location. For access tests begin in stated signed-out state.</t>
        </is>
      </c>
      <c r="H207" s="3" t="inlineStr">
        <is>
          <t>QA-AUTH / QA-SETTINGS</t>
        </is>
      </c>
      <c r="I207" s="3" t="inlineStr">
        <is>
          <t>Use QA account to change password with correct current credentials; apply supported timeout; inspect login activity.</t>
        </is>
      </c>
      <c r="J207" s="3" t="inlineStr">
        <is>
          <t>New password works, old fails; timeout and actual activity accurately reflected.</t>
        </is>
      </c>
      <c r="K207" s="3" t="inlineStr">
        <is>
          <t>Dedicated QA account; restore access and timeout.</t>
        </is>
      </c>
      <c r="L207" s="3" t="inlineStr">
        <is>
          <t>frontend/src/app/pages/Settings.tsx</t>
        </is>
      </c>
      <c r="M207" s="3" t="inlineStr">
        <is>
          <t>Not Run</t>
        </is>
      </c>
      <c r="N207" s="3" t="inlineStr"/>
      <c r="O207" s="3" t="inlineStr"/>
      <c r="P207" s="3" t="inlineStr"/>
      <c r="Q207" s="3" t="inlineStr"/>
      <c r="R207" s="3" t="inlineStr"/>
    </row>
    <row r="208" ht="110" customHeight="1">
      <c r="A208" s="2" t="inlineStr">
        <is>
          <t>TC-207</t>
        </is>
      </c>
      <c r="B208" s="2" t="inlineStr">
        <is>
          <t>F-072</t>
        </is>
      </c>
      <c r="C208" s="2" t="inlineStr">
        <is>
          <t>Settings</t>
        </is>
      </c>
      <c r="D208" s="2" t="inlineStr">
        <is>
          <t>Password and session security settings</t>
        </is>
      </c>
      <c r="E208" s="2" t="inlineStr">
        <is>
          <t>Validation / failure handling</t>
        </is>
      </c>
      <c r="F208" s="2" t="inlineStr">
        <is>
          <t>P1</t>
        </is>
      </c>
      <c r="G208" s="2" t="inlineStr">
        <is>
          <t>Use approved QA environment, required fixtures and authorized QA account; open the feature location. For access tests begin in stated signed-out state.</t>
        </is>
      </c>
      <c r="H208" s="2" t="inlineStr">
        <is>
          <t>QA-AUTH / QA-SETTINGS</t>
        </is>
      </c>
      <c r="I208" s="2" t="inlineStr">
        <is>
          <t>Try incorrect current password, weak/mismatched new values and failed update.</t>
        </is>
      </c>
      <c r="J208" s="2" t="inlineStr">
        <is>
          <t>No unauthorized password mutation or false success; secret values not disclosed.</t>
        </is>
      </c>
      <c r="K208" s="2" t="inlineStr">
        <is>
          <t>Dedicated QA account; restore access and timeout.</t>
        </is>
      </c>
      <c r="L208" s="2" t="inlineStr">
        <is>
          <t>frontend/src/app/pages/Settings.tsx</t>
        </is>
      </c>
      <c r="M208" s="2" t="inlineStr">
        <is>
          <t>Not Run</t>
        </is>
      </c>
      <c r="N208" s="2" t="inlineStr"/>
      <c r="O208" s="2" t="inlineStr"/>
      <c r="P208" s="2" t="inlineStr"/>
      <c r="Q208" s="2" t="inlineStr"/>
      <c r="R208" s="2" t="inlineStr"/>
    </row>
    <row r="209" ht="110" customHeight="1">
      <c r="A209" s="3" t="inlineStr">
        <is>
          <t>TC-208</t>
        </is>
      </c>
      <c r="B209" s="3" t="inlineStr">
        <is>
          <t>F-072</t>
        </is>
      </c>
      <c r="C209" s="3" t="inlineStr">
        <is>
          <t>Settings</t>
        </is>
      </c>
      <c r="D209" s="3" t="inlineStr">
        <is>
          <t>Password and session security settings</t>
        </is>
      </c>
      <c r="E209" s="3" t="inlineStr">
        <is>
          <t>Correctness / persistence</t>
        </is>
      </c>
      <c r="F209" s="3" t="inlineStr">
        <is>
          <t>P1</t>
        </is>
      </c>
      <c r="G209" s="3" t="inlineStr">
        <is>
          <t>Use approved QA environment, required fixtures and authorized QA account; open the feature location. For access tests begin in stated signed-out state.</t>
        </is>
      </c>
      <c r="H209" s="3" t="inlineStr">
        <is>
          <t>QA-AUTH / QA-SETTINGS</t>
        </is>
      </c>
      <c r="I209" s="3" t="inlineStr">
        <is>
          <t>Reload security state; test actual idle vs active behavior and sign out.</t>
        </is>
      </c>
      <c r="J209" s="3" t="inlineStr">
        <is>
          <t>Applied settings and session lifecycle consistent; no fabricated login history.</t>
        </is>
      </c>
      <c r="K209" s="3" t="inlineStr">
        <is>
          <t>Dedicated QA account; restore access and timeout.</t>
        </is>
      </c>
      <c r="L209" s="3" t="inlineStr">
        <is>
          <t>frontend/src/app/pages/Settings.tsx</t>
        </is>
      </c>
      <c r="M209" s="3" t="inlineStr">
        <is>
          <t>Not Run</t>
        </is>
      </c>
      <c r="N209" s="3" t="inlineStr"/>
      <c r="O209" s="3" t="inlineStr"/>
      <c r="P209" s="3" t="inlineStr"/>
      <c r="Q209" s="3" t="inlineStr"/>
      <c r="R209" s="3" t="inlineStr"/>
    </row>
    <row r="210" ht="110" customHeight="1">
      <c r="A210" s="2" t="inlineStr">
        <is>
          <t>TC-209</t>
        </is>
      </c>
      <c r="B210" s="2" t="inlineStr">
        <is>
          <t>F-073</t>
        </is>
      </c>
      <c r="C210" s="2" t="inlineStr">
        <is>
          <t>WOOF Insights</t>
        </is>
      </c>
      <c r="D210" s="2" t="inlineStr">
        <is>
          <t>Contextual GLM business explanations</t>
        </is>
      </c>
      <c r="E210" s="2" t="inlineStr">
        <is>
          <t>Successful workflow</t>
        </is>
      </c>
      <c r="F210" s="2" t="inlineStr">
        <is>
          <t>P1</t>
        </is>
      </c>
      <c r="G210" s="2" t="inlineStr">
        <is>
          <t>Use approved QA environment, required fixtures and authorized QA account; open the feature location. For access tests begin in stated signed-out state.</t>
        </is>
      </c>
      <c r="H210" s="2" t="inlineStr">
        <is>
          <t>QA-LEDGER / QA-FORECAST</t>
        </is>
      </c>
      <c r="I210" s="2" t="inlineStr">
        <is>
          <t>Inspect WOOF Insight on applicable pages; change period/sector/tab and wait for updated explanation.</t>
        </is>
      </c>
      <c r="J210" s="2" t="inlineStr">
        <is>
          <t>Concise summary/readable figures and formatting; current data context and supported recommendations clear.</t>
        </is>
      </c>
      <c r="K210" s="2" t="inlineStr">
        <is>
          <t>Read-only; restore temporary QA filters/settings.</t>
        </is>
      </c>
      <c r="L210" s="2" t="inlineStr">
        <is>
          <t>frontend/src/app/components/WoofInsight.tsx</t>
        </is>
      </c>
      <c r="M210" s="2" t="inlineStr">
        <is>
          <t>Not Run</t>
        </is>
      </c>
      <c r="N210" s="2" t="inlineStr"/>
      <c r="O210" s="2" t="inlineStr"/>
      <c r="P210" s="2" t="inlineStr"/>
      <c r="Q210" s="2" t="inlineStr"/>
      <c r="R210" s="2" t="inlineStr"/>
    </row>
    <row r="211" ht="110" customHeight="1">
      <c r="A211" s="3" t="inlineStr">
        <is>
          <t>TC-210</t>
        </is>
      </c>
      <c r="B211" s="3" t="inlineStr">
        <is>
          <t>F-073</t>
        </is>
      </c>
      <c r="C211" s="3" t="inlineStr">
        <is>
          <t>WOOF Insights</t>
        </is>
      </c>
      <c r="D211" s="3" t="inlineStr">
        <is>
          <t>Contextual GLM business explanations</t>
        </is>
      </c>
      <c r="E211" s="3" t="inlineStr">
        <is>
          <t>Validation / failure handling</t>
        </is>
      </c>
      <c r="F211" s="3" t="inlineStr">
        <is>
          <t>P1</t>
        </is>
      </c>
      <c r="G211" s="3" t="inlineStr">
        <is>
          <t>Use approved QA environment, required fixtures and authorized QA account; open the feature location. For access tests begin in stated signed-out state.</t>
        </is>
      </c>
      <c r="H211" s="3" t="inlineStr">
        <is>
          <t>QA-LEDGER / QA-FORECAST</t>
        </is>
      </c>
      <c r="I211" s="3" t="inlineStr">
        <is>
          <t>Simulate provider error/no data/slow response with context switch.</t>
        </is>
      </c>
      <c r="J211" s="3" t="inlineStr">
        <is>
          <t>Friendly unavailable/stale state; no fabricated explanation, secret leak or old context labeled new.</t>
        </is>
      </c>
      <c r="K211" s="3" t="inlineStr">
        <is>
          <t>Read-only; restore temporary QA filters/settings.</t>
        </is>
      </c>
      <c r="L211" s="3" t="inlineStr">
        <is>
          <t>frontend/src/app/components/WoofInsight.tsx</t>
        </is>
      </c>
      <c r="M211" s="3" t="inlineStr">
        <is>
          <t>Not Run</t>
        </is>
      </c>
      <c r="N211" s="3" t="inlineStr"/>
      <c r="O211" s="3" t="inlineStr"/>
      <c r="P211" s="3" t="inlineStr"/>
      <c r="Q211" s="3" t="inlineStr"/>
      <c r="R211" s="3" t="inlineStr"/>
    </row>
    <row r="212" ht="110" customHeight="1">
      <c r="A212" s="2" t="inlineStr">
        <is>
          <t>TC-211</t>
        </is>
      </c>
      <c r="B212" s="2" t="inlineStr">
        <is>
          <t>F-073</t>
        </is>
      </c>
      <c r="C212" s="2" t="inlineStr">
        <is>
          <t>WOOF Insights</t>
        </is>
      </c>
      <c r="D212" s="2" t="inlineStr">
        <is>
          <t>Contextual GLM business explanations</t>
        </is>
      </c>
      <c r="E212" s="2" t="inlineStr">
        <is>
          <t>Correctness / persistence</t>
        </is>
      </c>
      <c r="F212" s="2" t="inlineStr">
        <is>
          <t>P1</t>
        </is>
      </c>
      <c r="G212" s="2" t="inlineStr">
        <is>
          <t>Use approved QA environment, required fixtures and authorized QA account; open the feature location. For access tests begin in stated signed-out state.</t>
        </is>
      </c>
      <c r="H212" s="2" t="inlineStr">
        <is>
          <t>QA-LEDGER / QA-FORECAST</t>
        </is>
      </c>
      <c r="I212" s="2" t="inlineStr">
        <is>
          <t>Compare cited numbers to current API/KPIs; distinguish observation, suggestion and causal evidence.</t>
        </is>
      </c>
      <c r="J212" s="2" t="inlineStr">
        <is>
          <t>Facts reconcile; no literal markdown artifacts/duplicate explanation card; unsupported causal claims rejected.</t>
        </is>
      </c>
      <c r="K212" s="2" t="inlineStr">
        <is>
          <t>Read-only; restore temporary QA filters/settings.</t>
        </is>
      </c>
      <c r="L212" s="2" t="inlineStr">
        <is>
          <t>frontend/src/app/components/WoofInsight.tsx</t>
        </is>
      </c>
      <c r="M212" s="2" t="inlineStr">
        <is>
          <t>Not Run</t>
        </is>
      </c>
      <c r="N212" s="2" t="inlineStr"/>
      <c r="O212" s="2" t="inlineStr"/>
      <c r="P212" s="2" t="inlineStr"/>
      <c r="Q212" s="2" t="inlineStr"/>
      <c r="R212" s="2" t="inlineStr"/>
    </row>
    <row r="213" ht="110" customHeight="1">
      <c r="A213" s="3" t="inlineStr">
        <is>
          <t>TC-212</t>
        </is>
      </c>
      <c r="B213" s="3" t="inlineStr">
        <is>
          <t>F-074</t>
        </is>
      </c>
      <c r="C213" s="3" t="inlineStr">
        <is>
          <t>WOOF Chatbot</t>
        </is>
      </c>
      <c r="D213" s="3" t="inlineStr">
        <is>
          <t>Dashboard conversational assistance</t>
        </is>
      </c>
      <c r="E213" s="3" t="inlineStr">
        <is>
          <t>Successful workflow</t>
        </is>
      </c>
      <c r="F213" s="3" t="inlineStr">
        <is>
          <t>P1</t>
        </is>
      </c>
      <c r="G213" s="3" t="inlineStr">
        <is>
          <t>Use approved QA environment, required fixtures and authorized QA account; open the feature location. For access tests begin in stated signed-out state.</t>
        </is>
      </c>
      <c r="H213" s="3" t="inlineStr">
        <is>
          <t>QA-LEDGER</t>
        </is>
      </c>
      <c r="I213" s="3" t="inlineStr">
        <is>
          <t>Open chatbot; use suggestion and typed question about known QA data; receive response.</t>
        </is>
      </c>
      <c r="J213" s="3" t="inlineStr">
        <is>
          <t>Correct prompt/context; readable useful answer grounded in supplied analytics.</t>
        </is>
      </c>
      <c r="K213" s="3" t="inlineStr">
        <is>
          <t>Read-only; restore temporary QA filters/settings.</t>
        </is>
      </c>
      <c r="L213" s="3" t="inlineStr">
        <is>
          <t>frontend/src/app/components/WOOFChatbot.tsx</t>
        </is>
      </c>
      <c r="M213" s="3" t="inlineStr">
        <is>
          <t>Not Run</t>
        </is>
      </c>
      <c r="N213" s="3" t="inlineStr"/>
      <c r="O213" s="3" t="inlineStr"/>
      <c r="P213" s="3" t="inlineStr"/>
      <c r="Q213" s="3" t="inlineStr"/>
      <c r="R213" s="3" t="inlineStr"/>
    </row>
    <row r="214" ht="110" customHeight="1">
      <c r="A214" s="2" t="inlineStr">
        <is>
          <t>TC-213</t>
        </is>
      </c>
      <c r="B214" s="2" t="inlineStr">
        <is>
          <t>F-074</t>
        </is>
      </c>
      <c r="C214" s="2" t="inlineStr">
        <is>
          <t>WOOF Chatbot</t>
        </is>
      </c>
      <c r="D214" s="2" t="inlineStr">
        <is>
          <t>Dashboard conversational assistance</t>
        </is>
      </c>
      <c r="E214" s="2" t="inlineStr">
        <is>
          <t>Validation / failure handling</t>
        </is>
      </c>
      <c r="F214" s="2" t="inlineStr">
        <is>
          <t>P1</t>
        </is>
      </c>
      <c r="G214" s="2" t="inlineStr">
        <is>
          <t>Use approved QA environment, required fixtures and authorized QA account; open the feature location. For access tests begin in stated signed-out state.</t>
        </is>
      </c>
      <c r="H214" s="2" t="inlineStr">
        <is>
          <t>QA-LEDGER</t>
        </is>
      </c>
      <c r="I214" s="2" t="inlineStr">
        <is>
          <t>Test blank/long/special text, repeated send and provider failure.</t>
        </is>
      </c>
      <c r="J214" s="2" t="inlineStr">
        <is>
          <t>No empty flood/script execution/false answer; clear busy/error/retry behavior.</t>
        </is>
      </c>
      <c r="K214" s="2" t="inlineStr">
        <is>
          <t>Read-only; restore temporary QA filters/settings.</t>
        </is>
      </c>
      <c r="L214" s="2" t="inlineStr">
        <is>
          <t>frontend/src/app/components/WOOFChatbot.tsx</t>
        </is>
      </c>
      <c r="M214" s="2" t="inlineStr">
        <is>
          <t>Not Run</t>
        </is>
      </c>
      <c r="N214" s="2" t="inlineStr"/>
      <c r="O214" s="2" t="inlineStr"/>
      <c r="P214" s="2" t="inlineStr"/>
      <c r="Q214" s="2" t="inlineStr"/>
      <c r="R214" s="2" t="inlineStr"/>
    </row>
    <row r="215" ht="110" customHeight="1">
      <c r="A215" s="3" t="inlineStr">
        <is>
          <t>TC-214</t>
        </is>
      </c>
      <c r="B215" s="3" t="inlineStr">
        <is>
          <t>F-074</t>
        </is>
      </c>
      <c r="C215" s="3" t="inlineStr">
        <is>
          <t>WOOF Chatbot</t>
        </is>
      </c>
      <c r="D215" s="3" t="inlineStr">
        <is>
          <t>Dashboard conversational assistance</t>
        </is>
      </c>
      <c r="E215" s="3" t="inlineStr">
        <is>
          <t>Correctness / persistence</t>
        </is>
      </c>
      <c r="F215" s="3" t="inlineStr">
        <is>
          <t>P1</t>
        </is>
      </c>
      <c r="G215" s="3" t="inlineStr">
        <is>
          <t>Use approved QA environment, required fixtures and authorized QA account; open the feature location. For access tests begin in stated signed-out state.</t>
        </is>
      </c>
      <c r="H215" s="3" t="inlineStr">
        <is>
          <t>QA-LEDGER</t>
        </is>
      </c>
      <c r="I215" s="3" t="inlineStr">
        <is>
          <t>Compare numerical answer to source; test close/reopen and mobile input accessibility.</t>
        </is>
      </c>
      <c r="J215" s="3" t="inlineStr">
        <is>
          <t>Answer scope/data accurate; no secrets or invented business facts.</t>
        </is>
      </c>
      <c r="K215" s="3" t="inlineStr">
        <is>
          <t>Read-only; restore temporary QA filters/settings.</t>
        </is>
      </c>
      <c r="L215" s="3" t="inlineStr">
        <is>
          <t>frontend/src/app/components/WOOFChatbot.tsx</t>
        </is>
      </c>
      <c r="M215" s="3" t="inlineStr">
        <is>
          <t>Not Run</t>
        </is>
      </c>
      <c r="N215" s="3" t="inlineStr"/>
      <c r="O215" s="3" t="inlineStr"/>
      <c r="P215" s="3" t="inlineStr"/>
      <c r="Q215" s="3" t="inlineStr"/>
      <c r="R215" s="3" t="inlineStr"/>
    </row>
    <row r="216" ht="110" customHeight="1">
      <c r="A216" s="2" t="inlineStr">
        <is>
          <t>TC-215</t>
        </is>
      </c>
      <c r="B216" s="2" t="inlineStr">
        <is>
          <t>F-075</t>
        </is>
      </c>
      <c r="C216" s="2" t="inlineStr">
        <is>
          <t>Additional Routes</t>
        </is>
      </c>
      <c r="D216" s="2" t="inlineStr">
        <is>
          <t>Additional analytical routes</t>
        </is>
      </c>
      <c r="E216" s="2" t="inlineStr">
        <is>
          <t>Successful workflow</t>
        </is>
      </c>
      <c r="F216" s="2" t="inlineStr">
        <is>
          <t>P2</t>
        </is>
      </c>
      <c r="G216" s="2" t="inlineStr">
        <is>
          <t>Use approved QA environment, required fixtures and authorized QA account; open the feature location. For access tests begin in stated signed-out state.</t>
        </is>
      </c>
      <c r="H216" s="2" t="inlineStr">
        <is>
          <t>QA-BASE</t>
        </is>
      </c>
      <c r="I216" s="2" t="inlineStr">
        <is>
          <t>Open Executive Overview, Behavioral Bridges and Prescriptive Intelligence directly; inspect their intended analytical workflows.</t>
        </is>
      </c>
      <c r="J216" s="2" t="inlineStr">
        <is>
          <t>Reachable release features load with truthful data and working enabled controls.</t>
        </is>
      </c>
      <c r="K216" s="2" t="inlineStr">
        <is>
          <t>Read-only; restore temporary QA filters/settings.</t>
        </is>
      </c>
      <c r="L216" s="2" t="inlineStr">
        <is>
          <t>frontend/pages</t>
        </is>
      </c>
      <c r="M216" s="2" t="inlineStr">
        <is>
          <t>Not Run</t>
        </is>
      </c>
      <c r="N216" s="2" t="inlineStr"/>
      <c r="O216" s="2" t="inlineStr"/>
      <c r="P216" s="2" t="inlineStr"/>
      <c r="Q216" s="2" t="inlineStr"/>
      <c r="R216" s="2" t="inlineStr"/>
    </row>
    <row r="217" ht="110" customHeight="1">
      <c r="A217" s="3" t="inlineStr">
        <is>
          <t>TC-216</t>
        </is>
      </c>
      <c r="B217" s="3" t="inlineStr">
        <is>
          <t>F-075</t>
        </is>
      </c>
      <c r="C217" s="3" t="inlineStr">
        <is>
          <t>Additional Routes</t>
        </is>
      </c>
      <c r="D217" s="3" t="inlineStr">
        <is>
          <t>Additional analytical routes</t>
        </is>
      </c>
      <c r="E217" s="3" t="inlineStr">
        <is>
          <t>Validation / failure handling</t>
        </is>
      </c>
      <c r="F217" s="3" t="inlineStr">
        <is>
          <t>P2</t>
        </is>
      </c>
      <c r="G217" s="3" t="inlineStr">
        <is>
          <t>Use approved QA environment, required fixtures and authorized QA account; open the feature location. For access tests begin in stated signed-out state.</t>
        </is>
      </c>
      <c r="H217" s="3" t="inlineStr">
        <is>
          <t>QA-BASE</t>
        </is>
      </c>
      <c r="I217" s="3" t="inlineStr">
        <is>
          <t>Test empty/unavailable data and apparent Approve/Dismiss actions.</t>
        </is>
      </c>
      <c r="J217" s="3" t="inlineStr">
        <is>
          <t>No misleading hardcoded factual claim or dead action presented as implemented.</t>
        </is>
      </c>
      <c r="K217" s="3" t="inlineStr">
        <is>
          <t>Read-only; restore temporary QA filters/settings.</t>
        </is>
      </c>
      <c r="L217" s="3" t="inlineStr">
        <is>
          <t>frontend/pages</t>
        </is>
      </c>
      <c r="M217" s="3" t="inlineStr">
        <is>
          <t>Not Run</t>
        </is>
      </c>
      <c r="N217" s="3" t="inlineStr"/>
      <c r="O217" s="3" t="inlineStr"/>
      <c r="P217" s="3" t="inlineStr"/>
      <c r="Q217" s="3" t="inlineStr"/>
      <c r="R217" s="3" t="inlineStr"/>
    </row>
    <row r="218" ht="110" customHeight="1">
      <c r="A218" s="2" t="inlineStr">
        <is>
          <t>TC-217</t>
        </is>
      </c>
      <c r="B218" s="2" t="inlineStr">
        <is>
          <t>F-075</t>
        </is>
      </c>
      <c r="C218" s="2" t="inlineStr">
        <is>
          <t>Additional Routes</t>
        </is>
      </c>
      <c r="D218" s="2" t="inlineStr">
        <is>
          <t>Additional analytical routes</t>
        </is>
      </c>
      <c r="E218" s="2" t="inlineStr">
        <is>
          <t>Correctness / persistence</t>
        </is>
      </c>
      <c r="F218" s="2" t="inlineStr">
        <is>
          <t>P2</t>
        </is>
      </c>
      <c r="G218" s="2" t="inlineStr">
        <is>
          <t>Use approved QA environment, required fixtures and authorized QA account; open the feature location. For access tests begin in stated signed-out state.</t>
        </is>
      </c>
      <c r="H218" s="2" t="inlineStr">
        <is>
          <t>QA-BASE</t>
        </is>
      </c>
      <c r="I218" s="2" t="inlineStr">
        <is>
          <t>Compare shown metrics/models to source and confirm release inclusion of each route.</t>
        </is>
      </c>
      <c r="J218" s="2" t="inlineStr">
        <is>
          <t>Each included route has data-backed output; non-release/unreachable component explicitly scoped N/A, not passed.</t>
        </is>
      </c>
      <c r="K218" s="2" t="inlineStr">
        <is>
          <t>Read-only; restore temporary QA filters/settings.</t>
        </is>
      </c>
      <c r="L218" s="2" t="inlineStr">
        <is>
          <t>frontend/pages</t>
        </is>
      </c>
      <c r="M218" s="2" t="inlineStr">
        <is>
          <t>Not Run</t>
        </is>
      </c>
      <c r="N218" s="2" t="inlineStr"/>
      <c r="O218" s="2" t="inlineStr"/>
      <c r="P218" s="2" t="inlineStr"/>
      <c r="Q218" s="2" t="inlineStr"/>
      <c r="R218" s="2" t="inlineStr"/>
    </row>
    <row r="219" ht="110" customHeight="1">
      <c r="A219" s="3" t="inlineStr">
        <is>
          <t>TC-218</t>
        </is>
      </c>
      <c r="B219" s="3" t="inlineStr">
        <is>
          <t>F-076</t>
        </is>
      </c>
      <c r="C219" s="3" t="inlineStr">
        <is>
          <t>Desktop App</t>
        </is>
      </c>
      <c r="D219" s="3" t="inlineStr">
        <is>
          <t>Install, update and packaged launch</t>
        </is>
      </c>
      <c r="E219" s="3" t="inlineStr">
        <is>
          <t>Successful workflow</t>
        </is>
      </c>
      <c r="F219" s="3" t="inlineStr">
        <is>
          <t>P0</t>
        </is>
      </c>
      <c r="G219" s="3" t="inlineStr">
        <is>
          <t>Use approved QA environment, required fixtures and authorized QA account; open the feature location. For access tests begin in stated signed-out state.</t>
        </is>
      </c>
      <c r="H219" s="3" t="inlineStr">
        <is>
          <t>QA-DESKTOP</t>
        </is>
      </c>
      <c r="I219" s="3" t="inlineStr">
        <is>
          <t>Install matching current QA platform build; launch with frontend terminal stopped; replace prior app after quitting.</t>
        </is>
      </c>
      <c r="J219" s="3" t="inlineStr">
        <is>
          <t>Bundled UI opens with current merged build/architecture and local assets.</t>
        </is>
      </c>
      <c r="K219" s="3" t="inlineStr">
        <is>
          <t>Dedicated QA profile; repeat only on platforms with current artifacts.</t>
        </is>
      </c>
      <c r="L219" s="3" t="inlineStr">
        <is>
          <t>desktop/main.cjs</t>
        </is>
      </c>
      <c r="M219" s="3" t="inlineStr">
        <is>
          <t>Not Run</t>
        </is>
      </c>
      <c r="N219" s="3" t="inlineStr"/>
      <c r="O219" s="3" t="inlineStr"/>
      <c r="P219" s="3" t="inlineStr"/>
      <c r="Q219" s="3" t="inlineStr"/>
      <c r="R219" s="3" t="inlineStr"/>
    </row>
    <row r="220" ht="110" customHeight="1">
      <c r="A220" s="2" t="inlineStr">
        <is>
          <t>TC-219</t>
        </is>
      </c>
      <c r="B220" s="2" t="inlineStr">
        <is>
          <t>F-076</t>
        </is>
      </c>
      <c r="C220" s="2" t="inlineStr">
        <is>
          <t>Desktop App</t>
        </is>
      </c>
      <c r="D220" s="2" t="inlineStr">
        <is>
          <t>Install, update and packaged launch</t>
        </is>
      </c>
      <c r="E220" s="2" t="inlineStr">
        <is>
          <t>Validation / failure handling</t>
        </is>
      </c>
      <c r="F220" s="2" t="inlineStr">
        <is>
          <t>P0</t>
        </is>
      </c>
      <c r="G220" s="2" t="inlineStr">
        <is>
          <t>Use approved QA environment, required fixtures and authorized QA account; open the feature location. For access tests begin in stated signed-out state.</t>
        </is>
      </c>
      <c r="H220" s="2" t="inlineStr">
        <is>
          <t>QA-DESKTOP</t>
        </is>
      </c>
      <c r="I220" s="2" t="inlineStr">
        <is>
          <t>Test backend unavailable and wrong/unsupported platform artifact selection safely.</t>
        </is>
      </c>
      <c r="J220" s="2" t="inlineStr">
        <is>
          <t>Clear connectivity/compatibility behavior; no false live data or unexplained stale build.</t>
        </is>
      </c>
      <c r="K220" s="2" t="inlineStr">
        <is>
          <t>Dedicated QA profile; repeat only on platforms with current artifacts.</t>
        </is>
      </c>
      <c r="L220" s="2" t="inlineStr">
        <is>
          <t>desktop/main.cjs</t>
        </is>
      </c>
      <c r="M220" s="2" t="inlineStr">
        <is>
          <t>Not Run</t>
        </is>
      </c>
      <c r="N220" s="2" t="inlineStr"/>
      <c r="O220" s="2" t="inlineStr"/>
      <c r="P220" s="2" t="inlineStr"/>
      <c r="Q220" s="2" t="inlineStr"/>
      <c r="R220" s="2" t="inlineStr"/>
    </row>
    <row r="221" ht="110" customHeight="1">
      <c r="A221" s="3" t="inlineStr">
        <is>
          <t>TC-220</t>
        </is>
      </c>
      <c r="B221" s="3" t="inlineStr">
        <is>
          <t>F-076</t>
        </is>
      </c>
      <c r="C221" s="3" t="inlineStr">
        <is>
          <t>Desktop App</t>
        </is>
      </c>
      <c r="D221" s="3" t="inlineStr">
        <is>
          <t>Install, update and packaged launch</t>
        </is>
      </c>
      <c r="E221" s="3" t="inlineStr">
        <is>
          <t>Correctness / persistence</t>
        </is>
      </c>
      <c r="F221" s="3" t="inlineStr">
        <is>
          <t>P0</t>
        </is>
      </c>
      <c r="G221" s="3" t="inlineStr">
        <is>
          <t>Use approved QA environment, required fixtures and authorized QA account; open the feature location. For access tests begin in stated signed-out state.</t>
        </is>
      </c>
      <c r="H221" s="3" t="inlineStr">
        <is>
          <t>QA-DESKTOP</t>
        </is>
      </c>
      <c r="I221" s="3" t="inlineStr">
        <is>
          <t>Record installer hash/build; relaunch, reload deep route and open second instance.</t>
        </is>
      </c>
      <c r="J221" s="3" t="inlineStr">
        <is>
          <t>Correct build, valid route assets and single-instance behavior; preferences persist as designed.</t>
        </is>
      </c>
      <c r="K221" s="3" t="inlineStr">
        <is>
          <t>Dedicated QA profile; repeat only on platforms with current artifacts.</t>
        </is>
      </c>
      <c r="L221" s="3" t="inlineStr">
        <is>
          <t>desktop/main.cjs</t>
        </is>
      </c>
      <c r="M221" s="3" t="inlineStr">
        <is>
          <t>Not Run</t>
        </is>
      </c>
      <c r="N221" s="3" t="inlineStr"/>
      <c r="O221" s="3" t="inlineStr"/>
      <c r="P221" s="3" t="inlineStr"/>
      <c r="Q221" s="3" t="inlineStr"/>
      <c r="R221" s="3" t="inlineStr"/>
    </row>
    <row r="222" ht="110" customHeight="1">
      <c r="A222" s="2" t="inlineStr">
        <is>
          <t>TC-221</t>
        </is>
      </c>
      <c r="B222" s="2" t="inlineStr">
        <is>
          <t>F-077</t>
        </is>
      </c>
      <c r="C222" s="2" t="inlineStr">
        <is>
          <t>Desktop App</t>
        </is>
      </c>
      <c r="D222" s="2" t="inlineStr">
        <is>
          <t>Desktop security and OS integration</t>
        </is>
      </c>
      <c r="E222" s="2" t="inlineStr">
        <is>
          <t>Successful workflow</t>
        </is>
      </c>
      <c r="F222" s="2" t="inlineStr">
        <is>
          <t>P1</t>
        </is>
      </c>
      <c r="G222" s="2" t="inlineStr">
        <is>
          <t>Use approved QA environment, required fixtures and authorized QA account; open the feature location. For access tests begin in stated signed-out state.</t>
        </is>
      </c>
      <c r="H222" s="2" t="inlineStr">
        <is>
          <t>QA-DESKTOP</t>
        </is>
      </c>
      <c r="I222" s="2" t="inlineStr">
        <is>
          <t>Sign in through MFA; navigate/reload; save export; use native edit/window controls and approved external link.</t>
        </is>
      </c>
      <c r="J222" s="2" t="inlineStr">
        <is>
          <t>Secure session forwarded; valid save output; links open in external browser; menus/window usable.</t>
        </is>
      </c>
      <c r="K222" s="2" t="inlineStr">
        <is>
          <t>No secrets in evidence; use QA profile.</t>
        </is>
      </c>
      <c r="L222" s="2" t="inlineStr">
        <is>
          <t>desktop/main.cjs</t>
        </is>
      </c>
      <c r="M222" s="2" t="inlineStr">
        <is>
          <t>Not Run</t>
        </is>
      </c>
      <c r="N222" s="2" t="inlineStr"/>
      <c r="O222" s="2" t="inlineStr"/>
      <c r="P222" s="2" t="inlineStr"/>
      <c r="Q222" s="2" t="inlineStr"/>
      <c r="R222" s="2" t="inlineStr"/>
    </row>
    <row r="223" ht="110" customHeight="1">
      <c r="A223" s="3" t="inlineStr">
        <is>
          <t>TC-222</t>
        </is>
      </c>
      <c r="B223" s="3" t="inlineStr">
        <is>
          <t>F-077</t>
        </is>
      </c>
      <c r="C223" s="3" t="inlineStr">
        <is>
          <t>Desktop App</t>
        </is>
      </c>
      <c r="D223" s="3" t="inlineStr">
        <is>
          <t>Desktop security and OS integration</t>
        </is>
      </c>
      <c r="E223" s="3" t="inlineStr">
        <is>
          <t>Validation / failure handling</t>
        </is>
      </c>
      <c r="F223" s="3" t="inlineStr">
        <is>
          <t>P1</t>
        </is>
      </c>
      <c r="G223" s="3" t="inlineStr">
        <is>
          <t>Use approved QA environment, required fixtures and authorized QA account; open the feature location. For access tests begin in stated signed-out state.</t>
        </is>
      </c>
      <c r="H223" s="3" t="inlineStr">
        <is>
          <t>QA-DESKTOP</t>
        </is>
      </c>
      <c r="I223" s="3" t="inlineStr">
        <is>
          <t>Cancel save; sign out then reopen protected route; inspect first-time enrollment guidance.</t>
        </is>
      </c>
      <c r="J223" s="3" t="inlineStr">
        <is>
          <t>No false saved/access/enrollment success; session cleared; limits explicit.</t>
        </is>
      </c>
      <c r="K223" s="3" t="inlineStr">
        <is>
          <t>No secrets in evidence; use QA profile.</t>
        </is>
      </c>
      <c r="L223" s="3" t="inlineStr">
        <is>
          <t>desktop/main.cjs</t>
        </is>
      </c>
      <c r="M223" s="3" t="inlineStr">
        <is>
          <t>Not Run</t>
        </is>
      </c>
      <c r="N223" s="3" t="inlineStr"/>
      <c r="O223" s="3" t="inlineStr"/>
      <c r="P223" s="3" t="inlineStr"/>
      <c r="Q223" s="3" t="inlineStr"/>
      <c r="R223" s="3" t="inlineStr"/>
    </row>
    <row r="224" ht="110" customHeight="1">
      <c r="A224" s="2" t="inlineStr">
        <is>
          <t>TC-223</t>
        </is>
      </c>
      <c r="B224" s="2" t="inlineStr">
        <is>
          <t>F-077</t>
        </is>
      </c>
      <c r="C224" s="2" t="inlineStr">
        <is>
          <t>Desktop App</t>
        </is>
      </c>
      <c r="D224" s="2" t="inlineStr">
        <is>
          <t>Desktop security and OS integration</t>
        </is>
      </c>
      <c r="E224" s="2" t="inlineStr">
        <is>
          <t>Correctness / persistence</t>
        </is>
      </c>
      <c r="F224" s="2" t="inlineStr">
        <is>
          <t>P1</t>
        </is>
      </c>
      <c r="G224" s="2" t="inlineStr">
        <is>
          <t>Use approved QA environment, required fixtures and authorized QA account; open the feature location. For access tests begin in stated signed-out state.</t>
        </is>
      </c>
      <c r="H224" s="2" t="inlineStr">
        <is>
          <t>QA-DESKTOP</t>
        </is>
      </c>
      <c r="I224" s="2" t="inlineStr">
        <is>
          <t>Inspect package/preload for private keys/tokens, node/privilege exposure; resize/zoom and relaunch.</t>
        </is>
      </c>
      <c r="J224" s="2" t="inlineStr">
        <is>
          <t>No backend secrets bundled/exposed; restricted renderer; layout and window state usable.</t>
        </is>
      </c>
      <c r="K224" s="2" t="inlineStr">
        <is>
          <t>No secrets in evidence; use QA profile.</t>
        </is>
      </c>
      <c r="L224" s="2" t="inlineStr">
        <is>
          <t>desktop/main.cjs</t>
        </is>
      </c>
      <c r="M224" s="2" t="inlineStr">
        <is>
          <t>Not Run</t>
        </is>
      </c>
      <c r="N224" s="2" t="inlineStr"/>
      <c r="O224" s="2" t="inlineStr"/>
      <c r="P224" s="2" t="inlineStr"/>
      <c r="Q224" s="2" t="inlineStr"/>
      <c r="R224" s="2" t="inlineStr"/>
    </row>
    <row r="225" ht="110" customHeight="1">
      <c r="A225" s="3" t="inlineStr">
        <is>
          <t>TC-224</t>
        </is>
      </c>
      <c r="B225" s="3" t="inlineStr">
        <is>
          <t>F-078</t>
        </is>
      </c>
      <c r="C225" s="3" t="inlineStr">
        <is>
          <t>Cross-cutting QA</t>
        </is>
      </c>
      <c r="D225" s="3" t="inlineStr">
        <is>
          <t>Responsive and keyboard-accessible UX</t>
        </is>
      </c>
      <c r="E225" s="3" t="inlineStr">
        <is>
          <t>Successful workflow</t>
        </is>
      </c>
      <c r="F225" s="3" t="inlineStr">
        <is>
          <t>P1</t>
        </is>
      </c>
      <c r="G225" s="3" t="inlineStr">
        <is>
          <t>Use approved QA environment, required fixtures and authorized QA account; open the feature location. For access tests begin in stated signed-out state.</t>
        </is>
      </c>
      <c r="H225" s="3" t="inlineStr">
        <is>
          <t>QA-BASE</t>
        </is>
      </c>
      <c r="I225" s="3" t="inlineStr">
        <is>
          <t>Run representative core workflow on each main page at desktop, tablet and phone web sizes; use keyboard only.</t>
        </is>
      </c>
      <c r="J225" s="3" t="inlineStr">
        <is>
          <t>Essential actions/values reachable; sensible focus and readable layout/charts/tables.</t>
        </is>
      </c>
      <c r="K225" s="3" t="inlineStr">
        <is>
          <t>Read-only; restore temporary QA filters/settings.</t>
        </is>
      </c>
      <c r="L225" s="3" t="inlineStr">
        <is>
          <t>frontend/src/app/components/Layout.tsx</t>
        </is>
      </c>
      <c r="M225" s="3" t="inlineStr">
        <is>
          <t>Not Run</t>
        </is>
      </c>
      <c r="N225" s="3" t="inlineStr"/>
      <c r="O225" s="3" t="inlineStr"/>
      <c r="P225" s="3" t="inlineStr"/>
      <c r="Q225" s="3" t="inlineStr"/>
      <c r="R225" s="3" t="inlineStr"/>
    </row>
    <row r="226" ht="110" customHeight="1">
      <c r="A226" s="2" t="inlineStr">
        <is>
          <t>TC-225</t>
        </is>
      </c>
      <c r="B226" s="2" t="inlineStr">
        <is>
          <t>F-078</t>
        </is>
      </c>
      <c r="C226" s="2" t="inlineStr">
        <is>
          <t>Cross-cutting QA</t>
        </is>
      </c>
      <c r="D226" s="2" t="inlineStr">
        <is>
          <t>Responsive and keyboard-accessible UX</t>
        </is>
      </c>
      <c r="E226" s="2" t="inlineStr">
        <is>
          <t>Validation / failure handling</t>
        </is>
      </c>
      <c r="F226" s="2" t="inlineStr">
        <is>
          <t>P1</t>
        </is>
      </c>
      <c r="G226" s="2" t="inlineStr">
        <is>
          <t>Use approved QA environment, required fixtures and authorized QA account; open the feature location. For access tests begin in stated signed-out state.</t>
        </is>
      </c>
      <c r="H226" s="2" t="inlineStr">
        <is>
          <t>QA-BASE</t>
        </is>
      </c>
      <c r="I226" s="2" t="inlineStr">
        <is>
          <t>Test smallest supported viewport, long labels, modal focus and dark/custom theme.</t>
        </is>
      </c>
      <c r="J226" s="2" t="inlineStr">
        <is>
          <t>No inaccessible trap, hidden essential action, overlap or unreadable status.</t>
        </is>
      </c>
      <c r="K226" s="2" t="inlineStr">
        <is>
          <t>Read-only; restore temporary QA filters/settings.</t>
        </is>
      </c>
      <c r="L226" s="2" t="inlineStr">
        <is>
          <t>frontend/src/app/components/Layout.tsx</t>
        </is>
      </c>
      <c r="M226" s="2" t="inlineStr">
        <is>
          <t>Not Run</t>
        </is>
      </c>
      <c r="N226" s="2" t="inlineStr"/>
      <c r="O226" s="2" t="inlineStr"/>
      <c r="P226" s="2" t="inlineStr"/>
      <c r="Q226" s="2" t="inlineStr"/>
      <c r="R226" s="2" t="inlineStr"/>
    </row>
    <row r="227" ht="110" customHeight="1">
      <c r="A227" s="3" t="inlineStr">
        <is>
          <t>TC-226</t>
        </is>
      </c>
      <c r="B227" s="3" t="inlineStr">
        <is>
          <t>F-078</t>
        </is>
      </c>
      <c r="C227" s="3" t="inlineStr">
        <is>
          <t>Cross-cutting QA</t>
        </is>
      </c>
      <c r="D227" s="3" t="inlineStr">
        <is>
          <t>Responsive and keyboard-accessible UX</t>
        </is>
      </c>
      <c r="E227" s="3" t="inlineStr">
        <is>
          <t>Correctness / persistence</t>
        </is>
      </c>
      <c r="F227" s="3" t="inlineStr">
        <is>
          <t>P1</t>
        </is>
      </c>
      <c r="G227" s="3" t="inlineStr">
        <is>
          <t>Use approved QA environment, required fixtures and authorized QA account; open the feature location. For access tests begin in stated signed-out state.</t>
        </is>
      </c>
      <c r="H227" s="3" t="inlineStr">
        <is>
          <t>QA-BASE</t>
        </is>
      </c>
      <c r="I227" s="3" t="inlineStr">
        <is>
          <t>Record page/viewport/input mode and evidence; verify responsive web separate from desktop installer.</t>
        </is>
      </c>
      <c r="J227" s="3" t="inlineStr">
        <is>
          <t>All agreed platform/viewport scope explicitly tested; untested combinations not counted passed.</t>
        </is>
      </c>
      <c r="K227" s="3" t="inlineStr">
        <is>
          <t>Read-only; restore temporary QA filters/settings.</t>
        </is>
      </c>
      <c r="L227" s="3" t="inlineStr">
        <is>
          <t>frontend/src/app/components/Layout.tsx</t>
        </is>
      </c>
      <c r="M227" s="3" t="inlineStr">
        <is>
          <t>Not Run</t>
        </is>
      </c>
      <c r="N227" s="3" t="inlineStr"/>
      <c r="O227" s="3" t="inlineStr"/>
      <c r="P227" s="3" t="inlineStr"/>
      <c r="Q227" s="3" t="inlineStr"/>
      <c r="R227" s="3" t="inlineStr"/>
    </row>
    <row r="228" ht="110" customHeight="1">
      <c r="A228" s="2" t="inlineStr">
        <is>
          <t>TC-227</t>
        </is>
      </c>
      <c r="B228" s="2" t="inlineStr">
        <is>
          <t>F-079</t>
        </is>
      </c>
      <c r="C228" s="2" t="inlineStr">
        <is>
          <t>Cross-cutting QA</t>
        </is>
      </c>
      <c r="D228" s="2" t="inlineStr">
        <is>
          <t>Data integrity, availability and recovery</t>
        </is>
      </c>
      <c r="E228" s="2" t="inlineStr">
        <is>
          <t>Successful workflow</t>
        </is>
      </c>
      <c r="F228" s="2" t="inlineStr">
        <is>
          <t>P0</t>
        </is>
      </c>
      <c r="G228" s="2" t="inlineStr">
        <is>
          <t>Use approved QA environment, required fixtures and authorized QA account; open the feature location. For access tests begin in stated signed-out state.</t>
        </is>
      </c>
      <c r="H228" s="2" t="inlineStr">
        <is>
          <t>QA-LEDGER</t>
        </is>
      </c>
      <c r="I228" s="2" t="inlineStr">
        <is>
          <t>Reconcile known ledger across dashboards, diagnostics and reports under identical scope.</t>
        </is>
      </c>
      <c r="J228" s="2" t="inlineStr">
        <is>
          <t>Net1210/prior900/delta310/orders5/AOV242 and correct sector totals; definitions explicit.</t>
        </is>
      </c>
      <c r="K228" s="2" t="inlineStr">
        <is>
          <t>Read-only; restore temporary QA filters/settings.</t>
        </is>
      </c>
      <c r="L228" s="2" t="inlineStr">
        <is>
          <t>frontend/src/app/components/Layout.tsx</t>
        </is>
      </c>
      <c r="M228" s="2" t="inlineStr">
        <is>
          <t>Not Run</t>
        </is>
      </c>
      <c r="N228" s="2" t="inlineStr"/>
      <c r="O228" s="2" t="inlineStr"/>
      <c r="P228" s="2" t="inlineStr"/>
      <c r="Q228" s="2" t="inlineStr"/>
      <c r="R228" s="2" t="inlineStr"/>
    </row>
    <row r="229" ht="110" customHeight="1">
      <c r="A229" s="3" t="inlineStr">
        <is>
          <t>TC-228</t>
        </is>
      </c>
      <c r="B229" s="3" t="inlineStr">
        <is>
          <t>F-079</t>
        </is>
      </c>
      <c r="C229" s="3" t="inlineStr">
        <is>
          <t>Cross-cutting QA</t>
        </is>
      </c>
      <c r="D229" s="3" t="inlineStr">
        <is>
          <t>Data integrity, availability and recovery</t>
        </is>
      </c>
      <c r="E229" s="3" t="inlineStr">
        <is>
          <t>Validation / failure handling</t>
        </is>
      </c>
      <c r="F229" s="3" t="inlineStr">
        <is>
          <t>P0</t>
        </is>
      </c>
      <c r="G229" s="3" t="inlineStr">
        <is>
          <t>Use approved QA environment, required fixtures and authorized QA account; open the feature location. For access tests begin in stated signed-out state.</t>
        </is>
      </c>
      <c r="H229" s="3" t="inlineStr">
        <is>
          <t>QA-LEDGER</t>
        </is>
      </c>
      <c r="I229" s="3" t="inlineStr">
        <is>
          <t>Test zero/null/missing data, slow race between contexts, network interruption and recovery.</t>
        </is>
      </c>
      <c r="J229" s="3" t="inlineStr">
        <is>
          <t>No NaN, fabricated zeros, stale wrong-context data or false success; safe retry.</t>
        </is>
      </c>
      <c r="K229" s="3" t="inlineStr">
        <is>
          <t>Read-only; restore temporary QA filters/settings.</t>
        </is>
      </c>
      <c r="L229" s="3" t="inlineStr">
        <is>
          <t>frontend/src/app/components/Layout.tsx</t>
        </is>
      </c>
      <c r="M229" s="3" t="inlineStr">
        <is>
          <t>Not Run</t>
        </is>
      </c>
      <c r="N229" s="3" t="inlineStr"/>
      <c r="O229" s="3" t="inlineStr"/>
      <c r="P229" s="3" t="inlineStr"/>
      <c r="Q229" s="3" t="inlineStr"/>
      <c r="R229" s="3" t="inlineStr"/>
    </row>
    <row r="230" ht="110" customHeight="1">
      <c r="A230" s="2" t="inlineStr">
        <is>
          <t>TC-229</t>
        </is>
      </c>
      <c r="B230" s="2" t="inlineStr">
        <is>
          <t>F-079</t>
        </is>
      </c>
      <c r="C230" s="2" t="inlineStr">
        <is>
          <t>Cross-cutting QA</t>
        </is>
      </c>
      <c r="D230" s="2" t="inlineStr">
        <is>
          <t>Data integrity, availability and recovery</t>
        </is>
      </c>
      <c r="E230" s="2" t="inlineStr">
        <is>
          <t>Correctness / persistence</t>
        </is>
      </c>
      <c r="F230" s="2" t="inlineStr">
        <is>
          <t>P0</t>
        </is>
      </c>
      <c r="G230" s="2" t="inlineStr">
        <is>
          <t>Use approved QA environment, required fixtures and authorized QA account; open the feature location. For access tests begin in stated signed-out state.</t>
        </is>
      </c>
      <c r="H230" s="2" t="inlineStr">
        <is>
          <t>QA-LEDGER</t>
        </is>
      </c>
      <c r="I230" s="2" t="inlineStr">
        <is>
          <t>Validate timezone boundaries, gross/net/unit definitions and source rows after read-only use.</t>
        </is>
      </c>
      <c r="J230" s="2" t="inlineStr">
        <is>
          <t>Consistent arithmetic/timezone, no double counting or unintended source mutation.</t>
        </is>
      </c>
      <c r="K230" s="2" t="inlineStr">
        <is>
          <t>Read-only; restore temporary QA filters/settings.</t>
        </is>
      </c>
      <c r="L230" s="2" t="inlineStr">
        <is>
          <t>frontend/src/app/components/Layout.tsx</t>
        </is>
      </c>
      <c r="M230" s="2" t="inlineStr">
        <is>
          <t>Not Run</t>
        </is>
      </c>
      <c r="N230" s="2" t="inlineStr"/>
      <c r="O230" s="2" t="inlineStr"/>
      <c r="P230" s="2" t="inlineStr"/>
      <c r="Q230" s="2" t="inlineStr"/>
      <c r="R230" s="2" t="inlineStr"/>
    </row>
    <row r="231" ht="110" customHeight="1">
      <c r="A231" s="3" t="inlineStr">
        <is>
          <t>TC-230</t>
        </is>
      </c>
      <c r="B231" s="3" t="inlineStr">
        <is>
          <t>F-080</t>
        </is>
      </c>
      <c r="C231" s="3" t="inlineStr">
        <is>
          <t>Cross-cutting QA</t>
        </is>
      </c>
      <c r="D231" s="3" t="inlineStr">
        <is>
          <t>Authorization and privacy</t>
        </is>
      </c>
      <c r="E231" s="3" t="inlineStr">
        <is>
          <t>Successful workflow</t>
        </is>
      </c>
      <c r="F231" s="3" t="inlineStr">
        <is>
          <t>P0</t>
        </is>
      </c>
      <c r="G231" s="3" t="inlineStr">
        <is>
          <t>Use approved QA environment, required fixtures and authorized QA account; open the feature location. For access tests begin in stated signed-out state.</t>
        </is>
      </c>
      <c r="H231" s="3" t="inlineStr">
        <is>
          <t>QA-AUTH</t>
        </is>
      </c>
      <c r="I231" s="3" t="inlineStr">
        <is>
          <t>Use valid authorized MFA QA session for analytics/inventory/reports/audit/simulation.</t>
        </is>
      </c>
      <c r="J231" s="3" t="inlineStr">
        <is>
          <t>Authorized data access works without disclosing secrets.</t>
        </is>
      </c>
      <c r="K231" s="3" t="inlineStr">
        <is>
          <t>Approved QA identities/objects only; do not run intrusive production testing.</t>
        </is>
      </c>
      <c r="L231" s="3" t="inlineStr">
        <is>
          <t>frontend/src/app/components/Layout.tsx</t>
        </is>
      </c>
      <c r="M231" s="3" t="inlineStr">
        <is>
          <t>Not Run</t>
        </is>
      </c>
      <c r="N231" s="3" t="inlineStr"/>
      <c r="O231" s="3" t="inlineStr"/>
      <c r="P231" s="3" t="inlineStr"/>
      <c r="Q231" s="3" t="inlineStr"/>
      <c r="R231" s="3" t="inlineStr"/>
    </row>
    <row r="232" ht="110" customHeight="1">
      <c r="A232" s="2" t="inlineStr">
        <is>
          <t>TC-231</t>
        </is>
      </c>
      <c r="B232" s="2" t="inlineStr">
        <is>
          <t>F-080</t>
        </is>
      </c>
      <c r="C232" s="2" t="inlineStr">
        <is>
          <t>Cross-cutting QA</t>
        </is>
      </c>
      <c r="D232" s="2" t="inlineStr">
        <is>
          <t>Authorization and privacy</t>
        </is>
      </c>
      <c r="E232" s="2" t="inlineStr">
        <is>
          <t>Validation / failure handling</t>
        </is>
      </c>
      <c r="F232" s="2" t="inlineStr">
        <is>
          <t>P0</t>
        </is>
      </c>
      <c r="G232" s="2" t="inlineStr">
        <is>
          <t>Use approved QA environment, required fixtures and authorized QA account; open the feature location. For access tests begin in stated signed-out state.</t>
        </is>
      </c>
      <c r="H232" s="2" t="inlineStr">
        <is>
          <t>QA-AUTH</t>
        </is>
      </c>
      <c r="I232" s="2" t="inlineStr">
        <is>
          <t>Use no session, invalid token and approved unauthorized QA account; attempt another saved-object access.</t>
        </is>
      </c>
      <c r="J232" s="2" t="inlineStr">
        <is>
          <t>Unauthorized access/write denied by backend, not only hidden UI.</t>
        </is>
      </c>
      <c r="K232" s="2" t="inlineStr">
        <is>
          <t>Approved QA identities/objects only; do not run intrusive production testing.</t>
        </is>
      </c>
      <c r="L232" s="2" t="inlineStr">
        <is>
          <t>frontend/src/app/components/Layout.tsx</t>
        </is>
      </c>
      <c r="M232" s="2" t="inlineStr">
        <is>
          <t>Not Run</t>
        </is>
      </c>
      <c r="N232" s="2" t="inlineStr"/>
      <c r="O232" s="2" t="inlineStr"/>
      <c r="P232" s="2" t="inlineStr"/>
      <c r="Q232" s="2" t="inlineStr"/>
      <c r="R232" s="2" t="inlineStr"/>
    </row>
    <row r="233" ht="110" customHeight="1">
      <c r="A233" s="3" t="inlineStr">
        <is>
          <t>TC-232</t>
        </is>
      </c>
      <c r="B233" s="3" t="inlineStr">
        <is>
          <t>F-080</t>
        </is>
      </c>
      <c r="C233" s="3" t="inlineStr">
        <is>
          <t>Cross-cutting QA</t>
        </is>
      </c>
      <c r="D233" s="3" t="inlineStr">
        <is>
          <t>Authorization and privacy</t>
        </is>
      </c>
      <c r="E233" s="3" t="inlineStr">
        <is>
          <t>Correctness / persistence</t>
        </is>
      </c>
      <c r="F233" s="3" t="inlineStr">
        <is>
          <t>P0</t>
        </is>
      </c>
      <c r="G233" s="3" t="inlineStr">
        <is>
          <t>Use approved QA environment, required fixtures and authorized QA account; open the feature location. For access tests begin in stated signed-out state.</t>
        </is>
      </c>
      <c r="H233" s="3" t="inlineStr">
        <is>
          <t>QA-AUTH</t>
        </is>
      </c>
      <c r="I233" s="3" t="inlineStr">
        <is>
          <t>Inspect responses/errors/exports/package/logs after approved security checks.</t>
        </is>
      </c>
      <c r="J233" s="3" t="inlineStr">
        <is>
          <t>No cross-owner disclosure or private password/key/token leak.</t>
        </is>
      </c>
      <c r="K233" s="3" t="inlineStr">
        <is>
          <t>Approved QA identities/objects only; do not run intrusive production testing.</t>
        </is>
      </c>
      <c r="L233" s="3" t="inlineStr">
        <is>
          <t>frontend/src/app/components/Layout.tsx</t>
        </is>
      </c>
      <c r="M233" s="3" t="inlineStr">
        <is>
          <t>Not Run</t>
        </is>
      </c>
      <c r="N233" s="3" t="inlineStr"/>
      <c r="O233" s="3" t="inlineStr"/>
      <c r="P233" s="3" t="inlineStr"/>
      <c r="Q233" s="3" t="inlineStr"/>
      <c r="R233" s="3" t="inlineStr"/>
    </row>
    <row r="234" ht="110" customHeight="1">
      <c r="A234" s="2" t="inlineStr">
        <is>
          <t>TC-233</t>
        </is>
      </c>
      <c r="B234" s="2" t="inlineStr">
        <is>
          <t>F-081</t>
        </is>
      </c>
      <c r="C234" s="2" t="inlineStr">
        <is>
          <t>End-to-end</t>
        </is>
      </c>
      <c r="D234" s="2" t="inlineStr">
        <is>
          <t>Cross-module business workflows</t>
        </is>
      </c>
      <c r="E234" s="2" t="inlineStr">
        <is>
          <t>Import to analytics to diagnostics</t>
        </is>
      </c>
      <c r="F234" s="2" t="inlineStr">
        <is>
          <t>P0</t>
        </is>
      </c>
      <c r="G234" s="2" t="inlineStr">
        <is>
          <t>Use approved QA environment, required fixtures and authorized QA account; open the feature location. For access tests begin in stated signed-out state.</t>
        </is>
      </c>
      <c r="H234" s="2" t="inlineStr">
        <is>
          <t>Relevant QA fixtures</t>
        </is>
      </c>
      <c r="I234" s="2" t="inlineStr">
        <is>
          <t>1. Import approved QA POS/channel exports.
2. Verify upload accepted counts and metric totals.
3. Open Home, Cafe, Services, Retail with same date scope.
4. Open Root Cause and reconcile waterfall/discount bridge.
5. Generate and export matching Smart Report.</t>
        </is>
      </c>
      <c r="J234" s="2" t="inlineStr">
        <is>
          <t>All source-to-screen/report totals reconcile under same metric definitions; upload produces audit trail; no blocked PetHub transactions imported.</t>
        </is>
      </c>
      <c r="K234" s="2" t="inlineStr">
        <is>
          <t>QA environment only; remove created records and restore baseline.</t>
        </is>
      </c>
      <c r="L234" s="2" t="inlineStr">
        <is>
          <t>Multiple modules; see scope guide</t>
        </is>
      </c>
      <c r="M234" s="2" t="inlineStr">
        <is>
          <t>Not Run</t>
        </is>
      </c>
      <c r="N234" s="2" t="inlineStr"/>
      <c r="O234" s="2" t="inlineStr"/>
      <c r="P234" s="2" t="inlineStr"/>
      <c r="Q234" s="2" t="inlineStr"/>
      <c r="R234" s="2" t="inlineStr"/>
    </row>
    <row r="235" ht="110" customHeight="1">
      <c r="A235" s="3" t="inlineStr">
        <is>
          <t>TC-234</t>
        </is>
      </c>
      <c r="B235" s="3" t="inlineStr">
        <is>
          <t>F-081</t>
        </is>
      </c>
      <c r="C235" s="3" t="inlineStr">
        <is>
          <t>End-to-end</t>
        </is>
      </c>
      <c r="D235" s="3" t="inlineStr">
        <is>
          <t>Cross-module business workflows</t>
        </is>
      </c>
      <c r="E235" s="3" t="inlineStr">
        <is>
          <t>Recommendation to action to feedback</t>
        </is>
      </c>
      <c r="F235" s="3" t="inlineStr">
        <is>
          <t>P0</t>
        </is>
      </c>
      <c r="G235" s="3" t="inlineStr">
        <is>
          <t>Use approved QA environment, required fixtures and authorized QA account; open the feature location. For access tests begin in stated signed-out state.</t>
        </is>
      </c>
      <c r="H235" s="3" t="inlineStr">
        <is>
          <t>Relevant QA fixtures</t>
        </is>
      </c>
      <c r="I235" s="3" t="inlineStr">
        <is>
          <t>1. Mine QA bundle or obtain genuine eligible suggestion.
2. Open explanation and validate source metrics.
3. Deploy/approve once.
4. Open Feedback; complete helpful/not-helpful action.
5. Find action and feedback in Audit.</t>
        </is>
      </c>
      <c r="J235" s="3" t="inlineStr">
        <is>
          <t>Same recommendation ID/context follows flow; no duplicate action or fabricated feedback; audit timestamps/status correct.</t>
        </is>
      </c>
      <c r="K235" s="3" t="inlineStr">
        <is>
          <t>QA environment only; remove created records and restore baseline.</t>
        </is>
      </c>
      <c r="L235" s="3" t="inlineStr">
        <is>
          <t>Multiple modules; see scope guide</t>
        </is>
      </c>
      <c r="M235" s="3" t="inlineStr">
        <is>
          <t>Not Run</t>
        </is>
      </c>
      <c r="N235" s="3" t="inlineStr"/>
      <c r="O235" s="3" t="inlineStr"/>
      <c r="P235" s="3" t="inlineStr"/>
      <c r="Q235" s="3" t="inlineStr"/>
      <c r="R235" s="3" t="inlineStr"/>
    </row>
    <row r="236" ht="110" customHeight="1">
      <c r="A236" s="2" t="inlineStr">
        <is>
          <t>TC-235</t>
        </is>
      </c>
      <c r="B236" s="2" t="inlineStr">
        <is>
          <t>F-081</t>
        </is>
      </c>
      <c r="C236" s="2" t="inlineStr">
        <is>
          <t>End-to-end</t>
        </is>
      </c>
      <c r="D236" s="2" t="inlineStr">
        <is>
          <t>Cross-module business workflows</t>
        </is>
      </c>
      <c r="E236" s="2" t="inlineStr">
        <is>
          <t>Live simulator operational story</t>
        </is>
      </c>
      <c r="F236" s="2" t="inlineStr">
        <is>
          <t>P0</t>
        </is>
      </c>
      <c r="G236" s="2" t="inlineStr">
        <is>
          <t>Use approved QA environment, required fixtures and authorized QA account; open the feature location. For access tests begin in stated signed-out state.</t>
        </is>
      </c>
      <c r="H236" s="2" t="inlineStr">
        <is>
          <t>Relevant QA fixtures</t>
        </is>
      </c>
      <c r="I236" s="2" t="inlineStr">
        <is>
          <t>1. Load forecast for chosen QA date.
2. Start matched seed baseline/What-If.
3. At minute 120 inject one groomer absence.
4. Observe resource state/queue/bottleneck.
5. Inject relief staff later; observe recovery if eligible demand remains.
6. Complete run; compare and export/reopen.</t>
        </is>
      </c>
      <c r="J236" s="2" t="inlineStr">
        <is>
          <t>Actual engine states drive movement/KPIs; past states unchanged; baseline preserved; results and reopened/exported run agree. Trend is conditional on real workload, never faked.</t>
        </is>
      </c>
      <c r="K236" s="2" t="inlineStr">
        <is>
          <t>QA environment only; remove created records and restore baseline.</t>
        </is>
      </c>
      <c r="L236" s="2" t="inlineStr">
        <is>
          <t>Multiple modules; see scope guide</t>
        </is>
      </c>
      <c r="M236" s="2" t="inlineStr">
        <is>
          <t>Not Run</t>
        </is>
      </c>
      <c r="N236" s="2" t="inlineStr"/>
      <c r="O236" s="2" t="inlineStr"/>
      <c r="P236" s="2" t="inlineStr"/>
      <c r="Q236" s="2" t="inlineStr"/>
      <c r="R236" s="2" t="inlineStr"/>
    </row>
    <row r="237" ht="110" customHeight="1">
      <c r="A237" s="3" t="inlineStr">
        <is>
          <t>TC-236</t>
        </is>
      </c>
      <c r="B237" s="3" t="inlineStr">
        <is>
          <t>F-081</t>
        </is>
      </c>
      <c r="C237" s="3" t="inlineStr">
        <is>
          <t>End-to-end</t>
        </is>
      </c>
      <c r="D237" s="3" t="inlineStr">
        <is>
          <t>Cross-module business workflows</t>
        </is>
      </c>
      <c r="E237" s="3" t="inlineStr">
        <is>
          <t>Inventory source-to-screen</t>
        </is>
      </c>
      <c r="F237" s="3" t="inlineStr">
        <is>
          <t>P0</t>
        </is>
      </c>
      <c r="G237" s="3" t="inlineStr">
        <is>
          <t>Use approved QA environment, required fixtures and authorized QA account; open the feature location. For access tests begin in stated signed-out state.</t>
        </is>
      </c>
      <c r="H237" s="3" t="inlineStr">
        <is>
          <t>Relevant QA fixtures</t>
        </is>
      </c>
      <c r="I237" s="3" t="inlineStr">
        <is>
          <t>1. Record one active QA Pet Shop product UUID and stored stock.
2. Update its QA source stock through supported PetHub flow.
3. Wait for complete WOOF refresh.
4. Find UUID, inspect quantity/details and source time.
5. Change sales date/channel and verify inventory remains current.</t>
        </is>
      </c>
      <c r="J237" s="3" t="inlineStr">
        <is>
          <t>Exact stored available quantity appears without reservation double-deduction; no transaction webhook ingestion or stock mutation by WOOF.</t>
        </is>
      </c>
      <c r="K237" s="3" t="inlineStr">
        <is>
          <t>QA environment only; remove created records and restore baseline.</t>
        </is>
      </c>
      <c r="L237" s="3" t="inlineStr">
        <is>
          <t>Multiple modules; see scope guide</t>
        </is>
      </c>
      <c r="M237" s="3" t="inlineStr">
        <is>
          <t>Not Run</t>
        </is>
      </c>
      <c r="N237" s="3" t="inlineStr"/>
      <c r="O237" s="3" t="inlineStr"/>
      <c r="P237" s="3" t="inlineStr"/>
      <c r="Q237" s="3" t="inlineStr"/>
      <c r="R237" s="3" t="inlineStr"/>
    </row>
    <row r="238" ht="110" customHeight="1">
      <c r="A238" s="2" t="inlineStr">
        <is>
          <t>TC-237</t>
        </is>
      </c>
      <c r="B238" s="2" t="inlineStr">
        <is>
          <t>F-081</t>
        </is>
      </c>
      <c r="C238" s="2" t="inlineStr">
        <is>
          <t>End-to-end</t>
        </is>
      </c>
      <c r="D238" s="2" t="inlineStr">
        <is>
          <t>Cross-module business workflows</t>
        </is>
      </c>
      <c r="E238" s="2" t="inlineStr">
        <is>
          <t>Settings and persistence</t>
        </is>
      </c>
      <c r="F238" s="2" t="inlineStr">
        <is>
          <t>P0</t>
        </is>
      </c>
      <c r="G238" s="2" t="inlineStr">
        <is>
          <t>Use approved QA environment, required fixtures and authorized QA account; open the feature location. For access tests begin in stated signed-out state.</t>
        </is>
      </c>
      <c r="H238" s="2" t="inlineStr">
        <is>
          <t>Relevant QA fixtures</t>
        </is>
      </c>
      <c r="I238" s="2" t="inlineStr">
        <is>
          <t>1. Record original settings.
2. Change theme, sidebar, notifications and supported timeout.
3. Save/reload, navigate and relaunch desktop.
4. Verify intended settings; restore originals.</t>
        </is>
      </c>
      <c r="J238" s="2" t="inlineStr">
        <is>
          <t>Changes persist at correct scope; readability and navigation maintained; no unrelated profile/security setting reset.</t>
        </is>
      </c>
      <c r="K238" s="2" t="inlineStr">
        <is>
          <t>QA environment only; remove created records and restore baseline.</t>
        </is>
      </c>
      <c r="L238" s="2" t="inlineStr">
        <is>
          <t>Multiple modules; see scope guide</t>
        </is>
      </c>
      <c r="M238" s="2" t="inlineStr">
        <is>
          <t>Not Run</t>
        </is>
      </c>
      <c r="N238" s="2" t="inlineStr"/>
      <c r="O238" s="2" t="inlineStr"/>
      <c r="P238" s="2" t="inlineStr"/>
      <c r="Q238" s="2" t="inlineStr"/>
      <c r="R238" s="2" t="inlineStr"/>
    </row>
    <row r="239" ht="110" customHeight="1">
      <c r="A239" s="3" t="inlineStr">
        <is>
          <t>TC-238</t>
        </is>
      </c>
      <c r="B239" s="3" t="inlineStr">
        <is>
          <t>F-081</t>
        </is>
      </c>
      <c r="C239" s="3" t="inlineStr">
        <is>
          <t>End-to-end</t>
        </is>
      </c>
      <c r="D239" s="3" t="inlineStr">
        <is>
          <t>Cross-module business workflows</t>
        </is>
      </c>
      <c r="E239" s="3" t="inlineStr">
        <is>
          <t>Report lifecycle</t>
        </is>
      </c>
      <c r="F239" s="3" t="inlineStr">
        <is>
          <t>P0</t>
        </is>
      </c>
      <c r="G239" s="3" t="inlineStr">
        <is>
          <t>Use approved QA environment, required fixtures and authorized QA account; open the feature location. For access tests begin in stated signed-out state.</t>
        </is>
      </c>
      <c r="H239" s="3" t="inlineStr">
        <is>
          <t>Relevant QA fixtures</t>
        </is>
      </c>
      <c r="I239" s="3" t="inlineStr">
        <is>
          <t>1. Generate QA report with known title/date/sectors.
2. Reopen saved report.
3. Export CSV/PDF.
4. Submit both ratings and text.
5. Delete disposable report after verification; inspect audit.</t>
        </is>
      </c>
      <c r="J239" s="3" t="inlineStr">
        <is>
          <t>Report ID/context and values preserved; exports correct; feedback and deletion affect only selected report.</t>
        </is>
      </c>
      <c r="K239" s="3" t="inlineStr">
        <is>
          <t>QA environment only; remove created records and restore baseline.</t>
        </is>
      </c>
      <c r="L239" s="3" t="inlineStr">
        <is>
          <t>Multiple modules; see scope guide</t>
        </is>
      </c>
      <c r="M239" s="3" t="inlineStr">
        <is>
          <t>Not Run</t>
        </is>
      </c>
      <c r="N239" s="3" t="inlineStr"/>
      <c r="O239" s="3" t="inlineStr"/>
      <c r="P239" s="3" t="inlineStr"/>
      <c r="Q239" s="3" t="inlineStr"/>
      <c r="R239" s="3" t="inlineStr"/>
    </row>
    <row r="240" ht="110" customHeight="1">
      <c r="A240" s="2" t="inlineStr">
        <is>
          <t>TC-239</t>
        </is>
      </c>
      <c r="B240" s="2" t="inlineStr">
        <is>
          <t>F-081</t>
        </is>
      </c>
      <c r="C240" s="2" t="inlineStr">
        <is>
          <t>End-to-end</t>
        </is>
      </c>
      <c r="D240" s="2" t="inlineStr">
        <is>
          <t>Cross-module business workflows</t>
        </is>
      </c>
      <c r="E240" s="2" t="inlineStr">
        <is>
          <t>Owner secure access</t>
        </is>
      </c>
      <c r="F240" s="2" t="inlineStr">
        <is>
          <t>P0</t>
        </is>
      </c>
      <c r="G240" s="2" t="inlineStr">
        <is>
          <t>Use approved QA environment, required fixtures and authorized QA account; open the feature location. For access tests begin in stated signed-out state.</t>
        </is>
      </c>
      <c r="H240" s="2" t="inlineStr">
        <is>
          <t>Relevant QA fixtures</t>
        </is>
      </c>
      <c r="I240" s="2" t="inlineStr">
        <is>
          <t>1. Sign in QA owner using valid MFA.
2. Access analytics, inventory and saved runs.
3. Sign out.
4. Use back/reload/direct protected paths.</t>
        </is>
      </c>
      <c r="J240" s="2" t="inlineStr">
        <is>
          <t>Protected access requires valid authorized MFA session; sign-out prevents reuse of protected UI/API.</t>
        </is>
      </c>
      <c r="K240" s="2" t="inlineStr">
        <is>
          <t>QA environment only; remove created records and restore baseline.</t>
        </is>
      </c>
      <c r="L240" s="2" t="inlineStr">
        <is>
          <t>Multiple modules; see scope guide</t>
        </is>
      </c>
      <c r="M240" s="2" t="inlineStr">
        <is>
          <t>Not Run</t>
        </is>
      </c>
      <c r="N240" s="2" t="inlineStr"/>
      <c r="O240" s="2" t="inlineStr"/>
      <c r="P240" s="2" t="inlineStr"/>
      <c r="Q240" s="2" t="inlineStr"/>
      <c r="R240" s="2" t="inlineStr"/>
    </row>
  </sheetData>
  <autoFilter ref="A1:R240"/>
  <conditionalFormatting sqref="M2:M240">
    <cfRule type="expression" priority="1" dxfId="0">
      <formula>M2="Pass"</formula>
    </cfRule>
    <cfRule type="expression" priority="2" dxfId="1">
      <formula>M2="Fail"</formula>
    </cfRule>
    <cfRule type="expression" priority="3" dxfId="2">
      <formula>M2="Blocked"</formula>
    </cfRule>
    <cfRule type="expression" priority="4" dxfId="3">
      <formula>M2="N/A"</formula>
    </cfRule>
  </conditionalFormatting>
  <dataValidations count="1">
    <dataValidation sqref="M2:M240" showDropDown="0" showInputMessage="0" showErrorMessage="0" allowBlank="0" type="list">
      <formula1>"Not Run,Pass,Fail,Blocked,N/A"</formula1>
    </dataValidation>
  </dataValidation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N47"/>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6" customWidth="1" min="2" max="2"/>
    <col width="44" customWidth="1" min="3" max="3"/>
    <col width="62" customWidth="1" min="4" max="4"/>
    <col width="25" customWidth="1" min="5" max="5"/>
    <col width="25" customWidth="1" min="6" max="6"/>
    <col width="25" customWidth="1" min="7" max="7"/>
    <col width="25" customWidth="1" min="8" max="8"/>
    <col width="100" customWidth="1" min="9" max="9"/>
    <col width="16" customWidth="1" min="10" max="10"/>
    <col width="95" customWidth="1" min="11" max="11"/>
    <col width="25" customWidth="1" min="12" max="12"/>
    <col width="25" customWidth="1" min="13" max="13"/>
    <col width="25" customWidth="1" min="14" max="14"/>
  </cols>
  <sheetData>
    <row r="1" ht="32" customHeight="1">
      <c r="A1" s="1" t="inlineStr">
        <is>
          <t>Parameter ID</t>
        </is>
      </c>
      <c r="B1" s="1" t="inlineStr">
        <is>
          <t>Feature ID</t>
        </is>
      </c>
      <c r="C1" s="1" t="inlineStr">
        <is>
          <t>Family</t>
        </is>
      </c>
      <c r="D1" s="1" t="inlineStr">
        <is>
          <t>Template</t>
        </is>
      </c>
      <c r="E1" s="1" t="inlineStr">
        <is>
          <t>Sector</t>
        </is>
      </c>
      <c r="F1" s="1" t="inlineStr">
        <is>
          <t>Effect</t>
        </is>
      </c>
      <c r="G1" s="1" t="inlineStr">
        <is>
          <t>Default Value</t>
        </is>
      </c>
      <c r="H1" s="1" t="inlineStr">
        <is>
          <t>Duration min</t>
        </is>
      </c>
      <c r="I1" s="1" t="inlineStr">
        <is>
          <t>Setup</t>
        </is>
      </c>
      <c r="J1" s="1" t="inlineStr">
        <is>
          <t>Status</t>
        </is>
      </c>
      <c r="K1" s="1" t="inlineStr">
        <is>
          <t>Actual / Engine Evidence</t>
        </is>
      </c>
      <c r="L1" s="1" t="inlineStr">
        <is>
          <t>Saved Run ID</t>
        </is>
      </c>
      <c r="M1" s="1" t="inlineStr">
        <is>
          <t>Tester / Date</t>
        </is>
      </c>
      <c r="N1" s="1" t="inlineStr">
        <is>
          <t>Bug ID</t>
        </is>
      </c>
    </row>
    <row r="2" ht="75" customHeight="1">
      <c r="A2" s="2" t="inlineStr">
        <is>
          <t>EP-01</t>
        </is>
      </c>
      <c r="B2" s="2" t="inlineStr">
        <is>
          <t>F-045</t>
        </is>
      </c>
      <c r="C2" s="2" t="inlineStr">
        <is>
          <t>Staff availability</t>
        </is>
      </c>
      <c r="D2" s="2" t="inlineStr">
        <is>
          <t>Relief cafe staff arrives</t>
        </is>
      </c>
      <c r="E2" s="2" t="inlineStr">
        <is>
          <t>Cafe</t>
        </is>
      </c>
      <c r="F2" s="2" t="inlineStr">
        <is>
          <t>staff</t>
        </is>
      </c>
      <c r="G2" s="2" t="n">
        <v>1</v>
      </c>
      <c r="H2" s="2" t="n">
        <v>120</v>
      </c>
      <c r="I2" s="2" t="inlineStr">
        <is>
          <t>Independent QA run; seed12345; inject at t120; eligible future workload/resources.</t>
        </is>
      </c>
      <c r="J2" s="2" t="inlineStr">
        <is>
          <t>Not Run</t>
        </is>
      </c>
      <c r="K2" s="2" t="inlineStr"/>
      <c r="L2" s="2" t="inlineStr"/>
      <c r="M2" s="2" t="inlineStr"/>
      <c r="N2" s="2" t="inlineStr"/>
    </row>
    <row r="3" ht="75" customHeight="1">
      <c r="A3" s="3" t="inlineStr">
        <is>
          <t>EP-02</t>
        </is>
      </c>
      <c r="B3" s="3" t="inlineStr">
        <is>
          <t>F-045</t>
        </is>
      </c>
      <c r="C3" s="3" t="inlineStr">
        <is>
          <t>Staff availability</t>
        </is>
      </c>
      <c r="D3" s="3" t="inlineStr">
        <is>
          <t>Cafe staff meal break</t>
        </is>
      </c>
      <c r="E3" s="3" t="inlineStr">
        <is>
          <t>Cafe</t>
        </is>
      </c>
      <c r="F3" s="3" t="inlineStr">
        <is>
          <t>staff</t>
        </is>
      </c>
      <c r="G3" s="3" t="n">
        <v>-1</v>
      </c>
      <c r="H3" s="3" t="n">
        <v>30</v>
      </c>
      <c r="I3" s="3" t="inlineStr">
        <is>
          <t>Independent QA run; seed12345; inject at t120; eligible future workload/resources.</t>
        </is>
      </c>
      <c r="J3" s="3" t="inlineStr">
        <is>
          <t>Not Run</t>
        </is>
      </c>
      <c r="K3" s="3" t="inlineStr"/>
      <c r="L3" s="3" t="inlineStr"/>
      <c r="M3" s="3" t="inlineStr"/>
      <c r="N3" s="3" t="inlineStr"/>
    </row>
    <row r="4" ht="75" customHeight="1">
      <c r="A4" s="2" t="inlineStr">
        <is>
          <t>EP-03</t>
        </is>
      </c>
      <c r="B4" s="2" t="inlineStr">
        <is>
          <t>F-046</t>
        </is>
      </c>
      <c r="C4" s="2" t="inlineStr">
        <is>
          <t>Stations and equipment</t>
        </is>
      </c>
      <c r="D4" s="2" t="inlineStr">
        <is>
          <t>Backup grooming station opened</t>
        </is>
      </c>
      <c r="E4" s="2" t="inlineStr">
        <is>
          <t>Services</t>
        </is>
      </c>
      <c r="F4" s="2" t="inlineStr">
        <is>
          <t>stations</t>
        </is>
      </c>
      <c r="G4" s="2" t="n">
        <v>1</v>
      </c>
      <c r="H4" s="2" t="n">
        <v>120</v>
      </c>
      <c r="I4" s="2" t="inlineStr">
        <is>
          <t>Independent QA run; seed12345; inject at t120; eligible future workload/resources.</t>
        </is>
      </c>
      <c r="J4" s="2" t="inlineStr">
        <is>
          <t>Not Run</t>
        </is>
      </c>
      <c r="K4" s="2" t="inlineStr"/>
      <c r="L4" s="2" t="inlineStr"/>
      <c r="M4" s="2" t="inlineStr"/>
      <c r="N4" s="2" t="inlineStr"/>
    </row>
    <row r="5" ht="75" customHeight="1">
      <c r="A5" s="3" t="inlineStr">
        <is>
          <t>EP-04</t>
        </is>
      </c>
      <c r="B5" s="3" t="inlineStr">
        <is>
          <t>F-046</t>
        </is>
      </c>
      <c r="C5" s="3" t="inlineStr">
        <is>
          <t>Stations and equipment</t>
        </is>
      </c>
      <c r="D5" s="3" t="inlineStr">
        <is>
          <t>Cafe preparation station malfunction</t>
        </is>
      </c>
      <c r="E5" s="3" t="inlineStr">
        <is>
          <t>Cafe</t>
        </is>
      </c>
      <c r="F5" s="3" t="inlineStr">
        <is>
          <t>stations</t>
        </is>
      </c>
      <c r="G5" s="3" t="n">
        <v>-1</v>
      </c>
      <c r="H5" s="3" t="n">
        <v>45</v>
      </c>
      <c r="I5" s="3" t="inlineStr">
        <is>
          <t>Independent QA run; seed12345; inject at t120; eligible future workload/resources.</t>
        </is>
      </c>
      <c r="J5" s="3" t="inlineStr">
        <is>
          <t>Not Run</t>
        </is>
      </c>
      <c r="K5" s="3" t="inlineStr"/>
      <c r="L5" s="3" t="inlineStr"/>
      <c r="M5" s="3" t="inlineStr"/>
      <c r="N5" s="3" t="inlineStr"/>
    </row>
    <row r="6" ht="75" customHeight="1">
      <c r="A6" s="2" t="inlineStr">
        <is>
          <t>EP-05</t>
        </is>
      </c>
      <c r="B6" s="2" t="inlineStr">
        <is>
          <t>F-046</t>
        </is>
      </c>
      <c r="C6" s="2" t="inlineStr">
        <is>
          <t>Stations and equipment</t>
        </is>
      </c>
      <c r="D6" s="2" t="inlineStr">
        <is>
          <t>Backup cafe preparation station opened</t>
        </is>
      </c>
      <c r="E6" s="2" t="inlineStr">
        <is>
          <t>Cafe</t>
        </is>
      </c>
      <c r="F6" s="2" t="inlineStr">
        <is>
          <t>stations</t>
        </is>
      </c>
      <c r="G6" s="2" t="n">
        <v>1</v>
      </c>
      <c r="H6" s="2" t="n">
        <v>120</v>
      </c>
      <c r="I6" s="2" t="inlineStr">
        <is>
          <t>Independent QA run; seed12345; inject at t120; eligible future workload/resources.</t>
        </is>
      </c>
      <c r="J6" s="2" t="inlineStr">
        <is>
          <t>Not Run</t>
        </is>
      </c>
      <c r="K6" s="2" t="inlineStr"/>
      <c r="L6" s="2" t="inlineStr"/>
      <c r="M6" s="2" t="inlineStr"/>
      <c r="N6" s="2" t="inlineStr"/>
    </row>
    <row r="7" ht="75" customHeight="1">
      <c r="A7" s="3" t="inlineStr">
        <is>
          <t>EP-06</t>
        </is>
      </c>
      <c r="B7" s="3" t="inlineStr">
        <is>
          <t>F-047</t>
        </is>
      </c>
      <c r="C7" s="3" t="inlineStr">
        <is>
          <t>Facility closures</t>
        </is>
      </c>
      <c r="D7" s="3" t="inlineStr">
        <is>
          <t>Cafe sanitation pause</t>
        </is>
      </c>
      <c r="E7" s="3" t="inlineStr">
        <is>
          <t>Cafe</t>
        </is>
      </c>
      <c r="F7" s="3" t="inlineStr">
        <is>
          <t>closure</t>
        </is>
      </c>
      <c r="G7" s="3" t="n">
        <v>1</v>
      </c>
      <c r="H7" s="3" t="n">
        <v>15</v>
      </c>
      <c r="I7" s="3" t="inlineStr">
        <is>
          <t>Independent QA run; seed12345; inject at t120; eligible future workload/resources.</t>
        </is>
      </c>
      <c r="J7" s="3" t="inlineStr">
        <is>
          <t>Not Run</t>
        </is>
      </c>
      <c r="K7" s="3" t="inlineStr"/>
      <c r="L7" s="3" t="inlineStr"/>
      <c r="M7" s="3" t="inlineStr"/>
      <c r="N7" s="3" t="inlineStr"/>
    </row>
    <row r="8" ht="75" customHeight="1">
      <c r="A8" s="2" t="inlineStr">
        <is>
          <t>EP-07</t>
        </is>
      </c>
      <c r="B8" s="2" t="inlineStr">
        <is>
          <t>F-047</t>
        </is>
      </c>
      <c r="C8" s="2" t="inlineStr">
        <is>
          <t>Facility closures</t>
        </is>
      </c>
      <c r="D8" s="2" t="inlineStr">
        <is>
          <t>Grooming area deep cleaning</t>
        </is>
      </c>
      <c r="E8" s="2" t="inlineStr">
        <is>
          <t>Services</t>
        </is>
      </c>
      <c r="F8" s="2" t="inlineStr">
        <is>
          <t>closure</t>
        </is>
      </c>
      <c r="G8" s="2" t="n">
        <v>1</v>
      </c>
      <c r="H8" s="2" t="n">
        <v>20</v>
      </c>
      <c r="I8" s="2" t="inlineStr">
        <is>
          <t>Independent QA run; seed12345; inject at t120; eligible future workload/resources.</t>
        </is>
      </c>
      <c r="J8" s="2" t="inlineStr">
        <is>
          <t>Not Run</t>
        </is>
      </c>
      <c r="K8" s="2" t="inlineStr"/>
      <c r="L8" s="2" t="inlineStr"/>
      <c r="M8" s="2" t="inlineStr"/>
      <c r="N8" s="2" t="inlineStr"/>
    </row>
    <row r="9" ht="75" customHeight="1">
      <c r="A9" s="3" t="inlineStr">
        <is>
          <t>EP-08</t>
        </is>
      </c>
      <c r="B9" s="3" t="inlineStr">
        <is>
          <t>F-048</t>
        </is>
      </c>
      <c r="C9" s="3" t="inlineStr">
        <is>
          <t>Inventory supply disruption/restock</t>
        </is>
      </c>
      <c r="D9" s="3" t="inlineStr">
        <is>
          <t>Grooming consumables damaged (20 units)</t>
        </is>
      </c>
      <c r="E9" s="3" t="inlineStr">
        <is>
          <t>Services</t>
        </is>
      </c>
      <c r="F9" s="3" t="inlineStr">
        <is>
          <t>inventory</t>
        </is>
      </c>
      <c r="G9" s="3" t="n">
        <v>-20</v>
      </c>
      <c r="H9" s="3" t="n">
        <v>1</v>
      </c>
      <c r="I9" s="3" t="inlineStr">
        <is>
          <t>Independent QA run; seed12345; inject at t120; eligible future workload/resources.</t>
        </is>
      </c>
      <c r="J9" s="3" t="inlineStr">
        <is>
          <t>Not Run</t>
        </is>
      </c>
      <c r="K9" s="3" t="inlineStr"/>
      <c r="L9" s="3" t="inlineStr"/>
      <c r="M9" s="3" t="inlineStr"/>
      <c r="N9" s="3" t="inlineStr"/>
    </row>
    <row r="10" ht="75" customHeight="1">
      <c r="A10" s="2" t="inlineStr">
        <is>
          <t>EP-09</t>
        </is>
      </c>
      <c r="B10" s="2" t="inlineStr">
        <is>
          <t>F-048</t>
        </is>
      </c>
      <c r="C10" s="2" t="inlineStr">
        <is>
          <t>Inventory supply disruption/restock</t>
        </is>
      </c>
      <c r="D10" s="2" t="inlineStr">
        <is>
          <t>Cafe ingredient spoilage (20 units)</t>
        </is>
      </c>
      <c r="E10" s="2" t="inlineStr">
        <is>
          <t>Cafe</t>
        </is>
      </c>
      <c r="F10" s="2" t="inlineStr">
        <is>
          <t>inventory</t>
        </is>
      </c>
      <c r="G10" s="2" t="n">
        <v>-20</v>
      </c>
      <c r="H10" s="2" t="n">
        <v>1</v>
      </c>
      <c r="I10" s="2" t="inlineStr">
        <is>
          <t>Independent QA run; seed12345; inject at t120; eligible future workload/resources.</t>
        </is>
      </c>
      <c r="J10" s="2" t="inlineStr">
        <is>
          <t>Not Run</t>
        </is>
      </c>
      <c r="K10" s="2" t="inlineStr"/>
      <c r="L10" s="2" t="inlineStr"/>
      <c r="M10" s="2" t="inlineStr"/>
      <c r="N10" s="2" t="inlineStr"/>
    </row>
    <row r="11" ht="75" customHeight="1">
      <c r="A11" s="3" t="inlineStr">
        <is>
          <t>EP-10</t>
        </is>
      </c>
      <c r="B11" s="3" t="inlineStr">
        <is>
          <t>F-049</t>
        </is>
      </c>
      <c r="C11" s="3" t="inlineStr">
        <is>
          <t>Checkout and payment</t>
        </is>
      </c>
      <c r="D11" s="3" t="inlineStr">
        <is>
          <t>Express checkout process enabled</t>
        </is>
      </c>
      <c r="E11" s="3" t="inlineStr">
        <is>
          <t>All</t>
        </is>
      </c>
      <c r="F11" s="3" t="inlineStr">
        <is>
          <t>checkout</t>
        </is>
      </c>
      <c r="G11" s="3" t="n">
        <v>0.5</v>
      </c>
      <c r="H11" s="3" t="n">
        <v>60</v>
      </c>
      <c r="I11" s="3" t="inlineStr">
        <is>
          <t>Independent QA run; seed12345; inject at t120; eligible future workload/resources.</t>
        </is>
      </c>
      <c r="J11" s="3" t="inlineStr">
        <is>
          <t>Not Run</t>
        </is>
      </c>
      <c r="K11" s="3" t="inlineStr"/>
      <c r="L11" s="3" t="inlineStr"/>
      <c r="M11" s="3" t="inlineStr"/>
      <c r="N11" s="3" t="inlineStr"/>
    </row>
    <row r="12" ht="75" customHeight="1">
      <c r="A12" s="2" t="inlineStr">
        <is>
          <t>EP-11</t>
        </is>
      </c>
      <c r="B12" s="2" t="inlineStr">
        <is>
          <t>F-049</t>
        </is>
      </c>
      <c r="C12" s="2" t="inlineStr">
        <is>
          <t>Checkout and payment</t>
        </is>
      </c>
      <c r="D12" s="2" t="inlineStr">
        <is>
          <t>Manual payment verification required</t>
        </is>
      </c>
      <c r="E12" s="2" t="inlineStr">
        <is>
          <t>All</t>
        </is>
      </c>
      <c r="F12" s="2" t="inlineStr">
        <is>
          <t>checkout</t>
        </is>
      </c>
      <c r="G12" s="2" t="n">
        <v>2</v>
      </c>
      <c r="H12" s="2" t="n">
        <v>45</v>
      </c>
      <c r="I12" s="2" t="inlineStr">
        <is>
          <t>Independent QA run; seed12345; inject at t120; eligible future workload/resources.</t>
        </is>
      </c>
      <c r="J12" s="2" t="inlineStr">
        <is>
          <t>Not Run</t>
        </is>
      </c>
      <c r="K12" s="2" t="inlineStr"/>
      <c r="L12" s="2" t="inlineStr"/>
      <c r="M12" s="2" t="inlineStr"/>
      <c r="N12" s="2" t="inlineStr"/>
    </row>
    <row r="13" ht="75" customHeight="1">
      <c r="A13" s="3" t="inlineStr">
        <is>
          <t>EP-12</t>
        </is>
      </c>
      <c r="B13" s="3" t="inlineStr">
        <is>
          <t>F-050</t>
        </is>
      </c>
      <c r="C13" s="3" t="inlineStr">
        <is>
          <t>Demand surge or reduction</t>
        </is>
      </c>
      <c r="D13" s="3" t="inlineStr">
        <is>
          <t>Nearby event increases customer arrivals</t>
        </is>
      </c>
      <c r="E13" s="3" t="inlineStr">
        <is>
          <t>All</t>
        </is>
      </c>
      <c r="F13" s="3" t="inlineStr">
        <is>
          <t>demand</t>
        </is>
      </c>
      <c r="G13" s="3" t="n">
        <v>1.4</v>
      </c>
      <c r="H13" s="3" t="n">
        <v>90</v>
      </c>
      <c r="I13" s="3" t="inlineStr">
        <is>
          <t>Independent QA run; seed12345; inject at t120; eligible future workload/resources.</t>
        </is>
      </c>
      <c r="J13" s="3" t="inlineStr">
        <is>
          <t>Not Run</t>
        </is>
      </c>
      <c r="K13" s="3" t="inlineStr"/>
      <c r="L13" s="3" t="inlineStr"/>
      <c r="M13" s="3" t="inlineStr"/>
      <c r="N13" s="3" t="inlineStr"/>
    </row>
    <row r="14" ht="75" customHeight="1">
      <c r="A14" s="2" t="inlineStr">
        <is>
          <t>EP-13</t>
        </is>
      </c>
      <c r="B14" s="2" t="inlineStr">
        <is>
          <t>F-050</t>
        </is>
      </c>
      <c r="C14" s="2" t="inlineStr">
        <is>
          <t>Demand surge or reduction</t>
        </is>
      </c>
      <c r="D14" s="2" t="inlineStr">
        <is>
          <t>Road closure reduces customer arrivals</t>
        </is>
      </c>
      <c r="E14" s="2" t="inlineStr">
        <is>
          <t>All</t>
        </is>
      </c>
      <c r="F14" s="2" t="inlineStr">
        <is>
          <t>demand</t>
        </is>
      </c>
      <c r="G14" s="2" t="n">
        <v>0.6</v>
      </c>
      <c r="H14" s="2" t="n">
        <v>60</v>
      </c>
      <c r="I14" s="2" t="inlineStr">
        <is>
          <t>Independent QA run; seed12345; inject at t120; eligible future workload/resources.</t>
        </is>
      </c>
      <c r="J14" s="2" t="inlineStr">
        <is>
          <t>Not Run</t>
        </is>
      </c>
      <c r="K14" s="2" t="inlineStr"/>
      <c r="L14" s="2" t="inlineStr"/>
      <c r="M14" s="2" t="inlineStr"/>
      <c r="N14" s="2" t="inlineStr"/>
    </row>
    <row r="15" ht="75" customHeight="1">
      <c r="A15" s="3" t="inlineStr">
        <is>
          <t>EP-14</t>
        </is>
      </c>
      <c r="B15" s="3" t="inlineStr">
        <is>
          <t>F-051</t>
        </is>
      </c>
      <c r="C15" s="3" t="inlineStr">
        <is>
          <t>Service handling and delays</t>
        </is>
      </c>
      <c r="D15" s="3" t="inlineStr">
        <is>
          <t>Complex grooming requests slow service</t>
        </is>
      </c>
      <c r="E15" s="3" t="inlineStr">
        <is>
          <t>Services</t>
        </is>
      </c>
      <c r="F15" s="3" t="inlineStr">
        <is>
          <t>duration</t>
        </is>
      </c>
      <c r="G15" s="3" t="n">
        <v>1.3</v>
      </c>
      <c r="H15" s="3" t="n">
        <v>60</v>
      </c>
      <c r="I15" s="3" t="inlineStr">
        <is>
          <t>Independent QA run; seed12345; inject at t120; eligible future workload/resources.</t>
        </is>
      </c>
      <c r="J15" s="3" t="inlineStr">
        <is>
          <t>Not Run</t>
        </is>
      </c>
      <c r="K15" s="3" t="inlineStr"/>
      <c r="L15" s="3" t="inlineStr"/>
      <c r="M15" s="3" t="inlineStr"/>
      <c r="N15" s="3" t="inlineStr"/>
    </row>
    <row r="16" ht="75" customHeight="1">
      <c r="A16" s="2" t="inlineStr">
        <is>
          <t>EP-15</t>
        </is>
      </c>
      <c r="B16" s="2" t="inlineStr">
        <is>
          <t>F-045</t>
        </is>
      </c>
      <c r="C16" s="2" t="inlineStr">
        <is>
          <t>Staff availability</t>
        </is>
      </c>
      <c r="D16" s="2" t="inlineStr">
        <is>
          <t>Groomer / service staff absent</t>
        </is>
      </c>
      <c r="E16" s="2" t="inlineStr">
        <is>
          <t>Services</t>
        </is>
      </c>
      <c r="F16" s="2" t="inlineStr">
        <is>
          <t>staff</t>
        </is>
      </c>
      <c r="G16" s="2" t="n">
        <v>-1</v>
      </c>
      <c r="H16" s="2" t="n">
        <v>600</v>
      </c>
      <c r="I16" s="2" t="inlineStr">
        <is>
          <t>Independent QA run; seed12345; inject at t120; eligible future workload/resources.</t>
        </is>
      </c>
      <c r="J16" s="2" t="inlineStr">
        <is>
          <t>Not Run</t>
        </is>
      </c>
      <c r="K16" s="2" t="inlineStr"/>
      <c r="L16" s="2" t="inlineStr"/>
      <c r="M16" s="2" t="inlineStr"/>
      <c r="N16" s="2" t="inlineStr"/>
    </row>
    <row r="17" ht="75" customHeight="1">
      <c r="A17" s="3" t="inlineStr">
        <is>
          <t>EP-16</t>
        </is>
      </c>
      <c r="B17" s="3" t="inlineStr">
        <is>
          <t>F-045</t>
        </is>
      </c>
      <c r="C17" s="3" t="inlineStr">
        <is>
          <t>Staff availability</t>
        </is>
      </c>
      <c r="D17" s="3" t="inlineStr">
        <is>
          <t>Multiple service staff absent</t>
        </is>
      </c>
      <c r="E17" s="3" t="inlineStr">
        <is>
          <t>Services</t>
        </is>
      </c>
      <c r="F17" s="3" t="inlineStr">
        <is>
          <t>staff</t>
        </is>
      </c>
      <c r="G17" s="3" t="n">
        <v>-2</v>
      </c>
      <c r="H17" s="3" t="n">
        <v>600</v>
      </c>
      <c r="I17" s="3" t="inlineStr">
        <is>
          <t>Independent QA run; seed12345; inject at t120; eligible future workload/resources.</t>
        </is>
      </c>
      <c r="J17" s="3" t="inlineStr">
        <is>
          <t>Not Run</t>
        </is>
      </c>
      <c r="K17" s="3" t="inlineStr"/>
      <c r="L17" s="3" t="inlineStr"/>
      <c r="M17" s="3" t="inlineStr"/>
      <c r="N17" s="3" t="inlineStr"/>
    </row>
    <row r="18" ht="75" customHeight="1">
      <c r="A18" s="2" t="inlineStr">
        <is>
          <t>EP-17</t>
        </is>
      </c>
      <c r="B18" s="2" t="inlineStr">
        <is>
          <t>F-045</t>
        </is>
      </c>
      <c r="C18" s="2" t="inlineStr">
        <is>
          <t>Staff availability</t>
        </is>
      </c>
      <c r="D18" s="2" t="inlineStr">
        <is>
          <t>Staff break / temporary reassignment</t>
        </is>
      </c>
      <c r="E18" s="2" t="inlineStr">
        <is>
          <t>Services</t>
        </is>
      </c>
      <c r="F18" s="2" t="inlineStr">
        <is>
          <t>staff</t>
        </is>
      </c>
      <c r="G18" s="2" t="n">
        <v>-1</v>
      </c>
      <c r="H18" s="2" t="n">
        <v>30</v>
      </c>
      <c r="I18" s="2" t="inlineStr">
        <is>
          <t>Independent QA run; seed12345; inject at t120; eligible future workload/resources.</t>
        </is>
      </c>
      <c r="J18" s="2" t="inlineStr">
        <is>
          <t>Not Run</t>
        </is>
      </c>
      <c r="K18" s="2" t="inlineStr"/>
      <c r="L18" s="2" t="inlineStr"/>
      <c r="M18" s="2" t="inlineStr"/>
      <c r="N18" s="2" t="inlineStr"/>
    </row>
    <row r="19" ht="75" customHeight="1">
      <c r="A19" s="3" t="inlineStr">
        <is>
          <t>EP-18</t>
        </is>
      </c>
      <c r="B19" s="3" t="inlineStr">
        <is>
          <t>F-045</t>
        </is>
      </c>
      <c r="C19" s="3" t="inlineStr">
        <is>
          <t>Staff availability</t>
        </is>
      </c>
      <c r="D19" s="3" t="inlineStr">
        <is>
          <t>Additional service staff / overtime</t>
        </is>
      </c>
      <c r="E19" s="3" t="inlineStr">
        <is>
          <t>Services</t>
        </is>
      </c>
      <c r="F19" s="3" t="inlineStr">
        <is>
          <t>staff</t>
        </is>
      </c>
      <c r="G19" s="3" t="n">
        <v>1</v>
      </c>
      <c r="H19" s="3" t="n">
        <v>120</v>
      </c>
      <c r="I19" s="3" t="inlineStr">
        <is>
          <t>Independent QA run; seed12345; inject at t120; eligible future workload/resources.</t>
        </is>
      </c>
      <c r="J19" s="3" t="inlineStr">
        <is>
          <t>Not Run</t>
        </is>
      </c>
      <c r="K19" s="3" t="inlineStr"/>
      <c r="L19" s="3" t="inlineStr"/>
      <c r="M19" s="3" t="inlineStr"/>
      <c r="N19" s="3" t="inlineStr"/>
    </row>
    <row r="20" ht="75" customHeight="1">
      <c r="A20" s="2" t="inlineStr">
        <is>
          <t>EP-19</t>
        </is>
      </c>
      <c r="B20" s="2" t="inlineStr">
        <is>
          <t>F-051</t>
        </is>
      </c>
      <c r="C20" s="2" t="inlineStr">
        <is>
          <t>Service handling and delays</t>
        </is>
      </c>
      <c r="D20" s="2" t="inlineStr">
        <is>
          <t>Less experienced staff / longer service</t>
        </is>
      </c>
      <c r="E20" s="2" t="inlineStr">
        <is>
          <t>Services</t>
        </is>
      </c>
      <c r="F20" s="2" t="inlineStr">
        <is>
          <t>duration</t>
        </is>
      </c>
      <c r="G20" s="2" t="n">
        <v>1.25</v>
      </c>
      <c r="H20" s="2" t="n">
        <v>600</v>
      </c>
      <c r="I20" s="2" t="inlineStr">
        <is>
          <t>Independent QA run; seed12345; inject at t120; eligible future workload/resources.</t>
        </is>
      </c>
      <c r="J20" s="2" t="inlineStr">
        <is>
          <t>Not Run</t>
        </is>
      </c>
      <c r="K20" s="2" t="inlineStr"/>
      <c r="L20" s="2" t="inlineStr"/>
      <c r="M20" s="2" t="inlineStr"/>
      <c r="N20" s="2" t="inlineStr"/>
    </row>
    <row r="21" ht="75" customHeight="1">
      <c r="A21" s="3" t="inlineStr">
        <is>
          <t>EP-20</t>
        </is>
      </c>
      <c r="B21" s="3" t="inlineStr">
        <is>
          <t>F-051</t>
        </is>
      </c>
      <c r="C21" s="3" t="inlineStr">
        <is>
          <t>Service handling and delays</t>
        </is>
      </c>
      <c r="D21" s="3" t="inlineStr">
        <is>
          <t>More efficient service</t>
        </is>
      </c>
      <c r="E21" s="3" t="inlineStr">
        <is>
          <t>Services</t>
        </is>
      </c>
      <c r="F21" s="3" t="inlineStr">
        <is>
          <t>duration</t>
        </is>
      </c>
      <c r="G21" s="3" t="n">
        <v>0.8</v>
      </c>
      <c r="H21" s="3" t="n">
        <v>600</v>
      </c>
      <c r="I21" s="3" t="inlineStr">
        <is>
          <t>Independent QA run; seed12345; inject at t120; eligible future workload/resources.</t>
        </is>
      </c>
      <c r="J21" s="3" t="inlineStr">
        <is>
          <t>Not Run</t>
        </is>
      </c>
      <c r="K21" s="3" t="inlineStr"/>
      <c r="L21" s="3" t="inlineStr"/>
      <c r="M21" s="3" t="inlineStr"/>
      <c r="N21" s="3" t="inlineStr"/>
    </row>
    <row r="22" ht="75" customHeight="1">
      <c r="A22" s="2" t="inlineStr">
        <is>
          <t>EP-21</t>
        </is>
      </c>
      <c r="B22" s="2" t="inlineStr">
        <is>
          <t>F-045</t>
        </is>
      </c>
      <c r="C22" s="2" t="inlineStr">
        <is>
          <t>Staff availability</t>
        </is>
      </c>
      <c r="D22" s="2" t="inlineStr">
        <is>
          <t>Cafe staff shortage</t>
        </is>
      </c>
      <c r="E22" s="2" t="inlineStr">
        <is>
          <t>Cafe</t>
        </is>
      </c>
      <c r="F22" s="2" t="inlineStr">
        <is>
          <t>staff</t>
        </is>
      </c>
      <c r="G22" s="2" t="n">
        <v>-1</v>
      </c>
      <c r="H22" s="2" t="n">
        <v>120</v>
      </c>
      <c r="I22" s="2" t="inlineStr">
        <is>
          <t>Independent QA run; seed12345; inject at t120; eligible future workload/resources.</t>
        </is>
      </c>
      <c r="J22" s="2" t="inlineStr">
        <is>
          <t>Not Run</t>
        </is>
      </c>
      <c r="K22" s="2" t="inlineStr"/>
      <c r="L22" s="2" t="inlineStr"/>
      <c r="M22" s="2" t="inlineStr"/>
      <c r="N22" s="2" t="inlineStr"/>
    </row>
    <row r="23" ht="75" customHeight="1">
      <c r="A23" s="3" t="inlineStr">
        <is>
          <t>EP-22</t>
        </is>
      </c>
      <c r="B23" s="3" t="inlineStr">
        <is>
          <t>F-050</t>
        </is>
      </c>
      <c r="C23" s="3" t="inlineStr">
        <is>
          <t>Demand surge or reduction</t>
        </is>
      </c>
      <c r="D23" s="3" t="inlineStr">
        <is>
          <t>Cafe orders surge</t>
        </is>
      </c>
      <c r="E23" s="3" t="inlineStr">
        <is>
          <t>Cafe</t>
        </is>
      </c>
      <c r="F23" s="3" t="inlineStr">
        <is>
          <t>demand</t>
        </is>
      </c>
      <c r="G23" s="3" t="n">
        <v>1.5</v>
      </c>
      <c r="H23" s="3" t="n">
        <v>120</v>
      </c>
      <c r="I23" s="3" t="inlineStr">
        <is>
          <t>Independent QA run; seed12345; inject at t120; eligible future workload/resources.</t>
        </is>
      </c>
      <c r="J23" s="3" t="inlineStr">
        <is>
          <t>Not Run</t>
        </is>
      </c>
      <c r="K23" s="3" t="inlineStr"/>
      <c r="L23" s="3" t="inlineStr"/>
      <c r="M23" s="3" t="inlineStr"/>
      <c r="N23" s="3" t="inlineStr"/>
    </row>
    <row r="24" ht="75" customHeight="1">
      <c r="A24" s="2" t="inlineStr">
        <is>
          <t>EP-23</t>
        </is>
      </c>
      <c r="B24" s="2" t="inlineStr">
        <is>
          <t>F-051</t>
        </is>
      </c>
      <c r="C24" s="2" t="inlineStr">
        <is>
          <t>Service handling and delays</t>
        </is>
      </c>
      <c r="D24" s="2" t="inlineStr">
        <is>
          <t>Cafe preparation / turnover delay</t>
        </is>
      </c>
      <c r="E24" s="2" t="inlineStr">
        <is>
          <t>Cafe</t>
        </is>
      </c>
      <c r="F24" s="2" t="inlineStr">
        <is>
          <t>duration</t>
        </is>
      </c>
      <c r="G24" s="2" t="n">
        <v>1.5</v>
      </c>
      <c r="H24" s="2" t="n">
        <v>120</v>
      </c>
      <c r="I24" s="2" t="inlineStr">
        <is>
          <t>Independent QA run; seed12345; inject at t120; eligible future workload/resources.</t>
        </is>
      </c>
      <c r="J24" s="2" t="inlineStr">
        <is>
          <t>Not Run</t>
        </is>
      </c>
      <c r="K24" s="2" t="inlineStr"/>
      <c r="L24" s="2" t="inlineStr"/>
      <c r="M24" s="2" t="inlineStr"/>
      <c r="N24" s="2" t="inlineStr"/>
    </row>
    <row r="25" ht="75" customHeight="1">
      <c r="A25" s="3" t="inlineStr">
        <is>
          <t>EP-24</t>
        </is>
      </c>
      <c r="B25" s="3" t="inlineStr">
        <is>
          <t>F-046</t>
        </is>
      </c>
      <c r="C25" s="3" t="inlineStr">
        <is>
          <t>Stations and equipment</t>
        </is>
      </c>
      <c r="D25" s="3" t="inlineStr">
        <is>
          <t>Service station / equipment unavailable</t>
        </is>
      </c>
      <c r="E25" s="3" t="inlineStr">
        <is>
          <t>Services</t>
        </is>
      </c>
      <c r="F25" s="3" t="inlineStr">
        <is>
          <t>stations</t>
        </is>
      </c>
      <c r="G25" s="3" t="n">
        <v>-1</v>
      </c>
      <c r="H25" s="3" t="n">
        <v>120</v>
      </c>
      <c r="I25" s="3" t="inlineStr">
        <is>
          <t>Independent QA run; seed12345; inject at t120; eligible future workload/resources.</t>
        </is>
      </c>
      <c r="J25" s="3" t="inlineStr">
        <is>
          <t>Not Run</t>
        </is>
      </c>
      <c r="K25" s="3" t="inlineStr"/>
      <c r="L25" s="3" t="inlineStr"/>
      <c r="M25" s="3" t="inlineStr"/>
      <c r="N25" s="3" t="inlineStr"/>
    </row>
    <row r="26" ht="75" customHeight="1">
      <c r="A26" s="2" t="inlineStr">
        <is>
          <t>EP-25</t>
        </is>
      </c>
      <c r="B26" s="2" t="inlineStr">
        <is>
          <t>F-046</t>
        </is>
      </c>
      <c r="C26" s="2" t="inlineStr">
        <is>
          <t>Stations and equipment</t>
        </is>
      </c>
      <c r="D26" s="2" t="inlineStr">
        <is>
          <t>Dryer or clipper interruption</t>
        </is>
      </c>
      <c r="E26" s="2" t="inlineStr">
        <is>
          <t>Services</t>
        </is>
      </c>
      <c r="F26" s="2" t="inlineStr">
        <is>
          <t>stations</t>
        </is>
      </c>
      <c r="G26" s="2" t="n">
        <v>-1</v>
      </c>
      <c r="H26" s="2" t="n">
        <v>60</v>
      </c>
      <c r="I26" s="2" t="inlineStr">
        <is>
          <t>Independent QA run; seed12345; inject at t120; eligible future workload/resources.</t>
        </is>
      </c>
      <c r="J26" s="2" t="inlineStr">
        <is>
          <t>Not Run</t>
        </is>
      </c>
      <c r="K26" s="2" t="inlineStr"/>
      <c r="L26" s="2" t="inlineStr"/>
      <c r="M26" s="2" t="inlineStr"/>
      <c r="N26" s="2" t="inlineStr"/>
    </row>
    <row r="27" ht="75" customHeight="1">
      <c r="A27" s="3" t="inlineStr">
        <is>
          <t>EP-26</t>
        </is>
      </c>
      <c r="B27" s="3" t="inlineStr">
        <is>
          <t>F-047</t>
        </is>
      </c>
      <c r="C27" s="3" t="inlineStr">
        <is>
          <t>Facility closures</t>
        </is>
      </c>
      <c r="D27" s="3" t="inlineStr">
        <is>
          <t>Cleaning / maintenance closure</t>
        </is>
      </c>
      <c r="E27" s="3" t="inlineStr">
        <is>
          <t>Services</t>
        </is>
      </c>
      <c r="F27" s="3" t="inlineStr">
        <is>
          <t>closure</t>
        </is>
      </c>
      <c r="G27" s="3" t="n">
        <v>1</v>
      </c>
      <c r="H27" s="3" t="n">
        <v>30</v>
      </c>
      <c r="I27" s="3" t="inlineStr">
        <is>
          <t>Independent QA run; seed12345; inject at t120; eligible future workload/resources.</t>
        </is>
      </c>
      <c r="J27" s="3" t="inlineStr">
        <is>
          <t>Not Run</t>
        </is>
      </c>
      <c r="K27" s="3" t="inlineStr"/>
      <c r="L27" s="3" t="inlineStr"/>
      <c r="M27" s="3" t="inlineStr"/>
      <c r="N27" s="3" t="inlineStr"/>
    </row>
    <row r="28" ht="75" customHeight="1">
      <c r="A28" s="2" t="inlineStr">
        <is>
          <t>EP-27</t>
        </is>
      </c>
      <c r="B28" s="2" t="inlineStr">
        <is>
          <t>F-047</t>
        </is>
      </c>
      <c r="C28" s="2" t="inlineStr">
        <is>
          <t>Facility closures</t>
        </is>
      </c>
      <c r="D28" s="2" t="inlineStr">
        <is>
          <t>Water interruption</t>
        </is>
      </c>
      <c r="E28" s="2" t="inlineStr">
        <is>
          <t>Services</t>
        </is>
      </c>
      <c r="F28" s="2" t="inlineStr">
        <is>
          <t>closure</t>
        </is>
      </c>
      <c r="G28" s="2" t="n">
        <v>1</v>
      </c>
      <c r="H28" s="2" t="n">
        <v>60</v>
      </c>
      <c r="I28" s="2" t="inlineStr">
        <is>
          <t>Independent QA run; seed12345; inject at t120; eligible future workload/resources.</t>
        </is>
      </c>
      <c r="J28" s="2" t="inlineStr">
        <is>
          <t>Not Run</t>
        </is>
      </c>
      <c r="K28" s="2" t="inlineStr"/>
      <c r="L28" s="2" t="inlineStr"/>
      <c r="M28" s="2" t="inlineStr"/>
      <c r="N28" s="2" t="inlineStr"/>
    </row>
    <row r="29" ht="75" customHeight="1">
      <c r="A29" s="3" t="inlineStr">
        <is>
          <t>EP-28</t>
        </is>
      </c>
      <c r="B29" s="3" t="inlineStr">
        <is>
          <t>F-049</t>
        </is>
      </c>
      <c r="C29" s="3" t="inlineStr">
        <is>
          <t>Checkout and payment</t>
        </is>
      </c>
      <c r="D29" s="3" t="inlineStr">
        <is>
          <t>Payment / internet / POS delay</t>
        </is>
      </c>
      <c r="E29" s="3" t="inlineStr">
        <is>
          <t>All</t>
        </is>
      </c>
      <c r="F29" s="3" t="inlineStr">
        <is>
          <t>checkout</t>
        </is>
      </c>
      <c r="G29" s="3" t="n">
        <v>3</v>
      </c>
      <c r="H29" s="3" t="n">
        <v>60</v>
      </c>
      <c r="I29" s="3" t="inlineStr">
        <is>
          <t>Independent QA run; seed12345; inject at t120; eligible future workload/resources.</t>
        </is>
      </c>
      <c r="J29" s="3" t="inlineStr">
        <is>
          <t>Not Run</t>
        </is>
      </c>
      <c r="K29" s="3" t="inlineStr"/>
      <c r="L29" s="3" t="inlineStr"/>
      <c r="M29" s="3" t="inlineStr"/>
      <c r="N29" s="3" t="inlineStr"/>
    </row>
    <row r="30" ht="75" customHeight="1">
      <c r="A30" s="2" t="inlineStr">
        <is>
          <t>EP-29</t>
        </is>
      </c>
      <c r="B30" s="2" t="inlineStr">
        <is>
          <t>F-049</t>
        </is>
      </c>
      <c r="C30" s="2" t="inlineStr">
        <is>
          <t>Checkout and payment</t>
        </is>
      </c>
      <c r="D30" s="2" t="inlineStr">
        <is>
          <t>Payment terminal failures</t>
        </is>
      </c>
      <c r="E30" s="2" t="inlineStr">
        <is>
          <t>All</t>
        </is>
      </c>
      <c r="F30" s="2" t="inlineStr">
        <is>
          <t>paymentFailure</t>
        </is>
      </c>
      <c r="G30" s="2" t="n">
        <v>30</v>
      </c>
      <c r="H30" s="2" t="n">
        <v>60</v>
      </c>
      <c r="I30" s="2" t="inlineStr">
        <is>
          <t>Independent QA run; seed12345; inject at t120; eligible future workload/resources.</t>
        </is>
      </c>
      <c r="J30" s="2" t="inlineStr">
        <is>
          <t>Not Run</t>
        </is>
      </c>
      <c r="K30" s="2" t="inlineStr"/>
      <c r="L30" s="2" t="inlineStr"/>
      <c r="M30" s="2" t="inlineStr"/>
      <c r="N30" s="2" t="inlineStr"/>
    </row>
    <row r="31" ht="75" customHeight="1">
      <c r="A31" s="3" t="inlineStr">
        <is>
          <t>EP-30</t>
        </is>
      </c>
      <c r="B31" s="3" t="inlineStr">
        <is>
          <t>F-048</t>
        </is>
      </c>
      <c r="C31" s="3" t="inlineStr">
        <is>
          <t>Inventory supply disruption/restock</t>
        </is>
      </c>
      <c r="D31" s="3" t="inlineStr">
        <is>
          <t>Required service consumables depleted</t>
        </is>
      </c>
      <c r="E31" s="3" t="inlineStr">
        <is>
          <t>Services</t>
        </is>
      </c>
      <c r="F31" s="3" t="inlineStr">
        <is>
          <t>inventory</t>
        </is>
      </c>
      <c r="G31" s="3" t="n">
        <v>-100</v>
      </c>
      <c r="H31" s="3" t="n">
        <v>1</v>
      </c>
      <c r="I31" s="3" t="inlineStr">
        <is>
          <t>Independent QA run; seed12345; inject at t120; eligible future workload/resources.</t>
        </is>
      </c>
      <c r="J31" s="3" t="inlineStr">
        <is>
          <t>Not Run</t>
        </is>
      </c>
      <c r="K31" s="3" t="inlineStr"/>
      <c r="L31" s="3" t="inlineStr"/>
      <c r="M31" s="3" t="inlineStr"/>
      <c r="N31" s="3" t="inlineStr"/>
    </row>
    <row r="32" ht="75" customHeight="1">
      <c r="A32" s="2" t="inlineStr">
        <is>
          <t>EP-31</t>
        </is>
      </c>
      <c r="B32" s="2" t="inlineStr">
        <is>
          <t>F-048</t>
        </is>
      </c>
      <c r="C32" s="2" t="inlineStr">
        <is>
          <t>Inventory supply disruption/restock</t>
        </is>
      </c>
      <c r="D32" s="2" t="inlineStr">
        <is>
          <t>Cafe ingredient shortage</t>
        </is>
      </c>
      <c r="E32" s="2" t="inlineStr">
        <is>
          <t>Cafe</t>
        </is>
      </c>
      <c r="F32" s="2" t="inlineStr">
        <is>
          <t>inventory</t>
        </is>
      </c>
      <c r="G32" s="2" t="n">
        <v>-100</v>
      </c>
      <c r="H32" s="2" t="n">
        <v>1</v>
      </c>
      <c r="I32" s="2" t="inlineStr">
        <is>
          <t>Independent QA run; seed12345; inject at t120; eligible future workload/resources.</t>
        </is>
      </c>
      <c r="J32" s="2" t="inlineStr">
        <is>
          <t>Not Run</t>
        </is>
      </c>
      <c r="K32" s="2" t="inlineStr"/>
      <c r="L32" s="2" t="inlineStr"/>
      <c r="M32" s="2" t="inlineStr"/>
      <c r="N32" s="2" t="inlineStr"/>
    </row>
    <row r="33" ht="75" customHeight="1">
      <c r="A33" s="3" t="inlineStr">
        <is>
          <t>EP-32</t>
        </is>
      </c>
      <c r="B33" s="3" t="inlineStr">
        <is>
          <t>F-048</t>
        </is>
      </c>
      <c r="C33" s="3" t="inlineStr">
        <is>
          <t>Inventory supply disruption/restock</t>
        </is>
      </c>
      <c r="D33" s="3" t="inlineStr">
        <is>
          <t>Emergency service restocking</t>
        </is>
      </c>
      <c r="E33" s="3" t="inlineStr">
        <is>
          <t>Services</t>
        </is>
      </c>
      <c r="F33" s="3" t="inlineStr">
        <is>
          <t>inventory</t>
        </is>
      </c>
      <c r="G33" s="3" t="n">
        <v>100</v>
      </c>
      <c r="H33" s="3" t="n">
        <v>1</v>
      </c>
      <c r="I33" s="3" t="inlineStr">
        <is>
          <t>Independent QA run; seed12345; inject at t120; eligible future workload/resources.</t>
        </is>
      </c>
      <c r="J33" s="3" t="inlineStr">
        <is>
          <t>Not Run</t>
        </is>
      </c>
      <c r="K33" s="3" t="inlineStr"/>
      <c r="L33" s="3" t="inlineStr"/>
      <c r="M33" s="3" t="inlineStr"/>
      <c r="N33" s="3" t="inlineStr"/>
    </row>
    <row r="34" ht="75" customHeight="1">
      <c r="A34" s="2" t="inlineStr">
        <is>
          <t>EP-33</t>
        </is>
      </c>
      <c r="B34" s="2" t="inlineStr">
        <is>
          <t>F-048</t>
        </is>
      </c>
      <c r="C34" s="2" t="inlineStr">
        <is>
          <t>Inventory supply disruption/restock</t>
        </is>
      </c>
      <c r="D34" s="2" t="inlineStr">
        <is>
          <t>Cafe ingredients restored</t>
        </is>
      </c>
      <c r="E34" s="2" t="inlineStr">
        <is>
          <t>Cafe</t>
        </is>
      </c>
      <c r="F34" s="2" t="inlineStr">
        <is>
          <t>inventory</t>
        </is>
      </c>
      <c r="G34" s="2" t="n">
        <v>100</v>
      </c>
      <c r="H34" s="2" t="n">
        <v>1</v>
      </c>
      <c r="I34" s="2" t="inlineStr">
        <is>
          <t>Independent QA run; seed12345; inject at t120; eligible future workload/resources.</t>
        </is>
      </c>
      <c r="J34" s="2" t="inlineStr">
        <is>
          <t>Not Run</t>
        </is>
      </c>
      <c r="K34" s="2" t="inlineStr"/>
      <c r="L34" s="2" t="inlineStr"/>
      <c r="M34" s="2" t="inlineStr"/>
      <c r="N34" s="2" t="inlineStr"/>
    </row>
    <row r="35" ht="75" customHeight="1">
      <c r="A35" s="3" t="inlineStr">
        <is>
          <t>EP-34</t>
        </is>
      </c>
      <c r="B35" s="3" t="inlineStr">
        <is>
          <t>F-051</t>
        </is>
      </c>
      <c r="C35" s="3" t="inlineStr">
        <is>
          <t>Service handling and delays</t>
        </is>
      </c>
      <c r="D35" s="3" t="inlineStr">
        <is>
          <t>Pet anxiety / extra handling</t>
        </is>
      </c>
      <c r="E35" s="3" t="inlineStr">
        <is>
          <t>Services</t>
        </is>
      </c>
      <c r="F35" s="3" t="inlineStr">
        <is>
          <t>duration</t>
        </is>
      </c>
      <c r="G35" s="3" t="n">
        <v>1.5</v>
      </c>
      <c r="H35" s="3" t="n">
        <v>30</v>
      </c>
      <c r="I35" s="3" t="inlineStr">
        <is>
          <t>Independent QA run; seed12345; inject at t120; eligible future workload/resources.</t>
        </is>
      </c>
      <c r="J35" s="3" t="inlineStr">
        <is>
          <t>Not Run</t>
        </is>
      </c>
      <c r="K35" s="3" t="inlineStr"/>
      <c r="L35" s="3" t="inlineStr"/>
      <c r="M35" s="3" t="inlineStr"/>
      <c r="N35" s="3" t="inlineStr"/>
    </row>
    <row r="36" ht="75" customHeight="1">
      <c r="A36" s="2" t="inlineStr">
        <is>
          <t>EP-35</t>
        </is>
      </c>
      <c r="B36" s="2" t="inlineStr">
        <is>
          <t>F-052</t>
        </is>
      </c>
      <c r="C36" s="2" t="inlineStr">
        <is>
          <t>Appointment cancellation/no-show/lateness</t>
        </is>
      </c>
      <c r="D36" s="2" t="inlineStr">
        <is>
          <t>Pet refusal / owner cancels before arrival</t>
        </is>
      </c>
      <c r="E36" s="2" t="inlineStr">
        <is>
          <t>Services</t>
        </is>
      </c>
      <c r="F36" s="2" t="inlineStr">
        <is>
          <t>cancel</t>
        </is>
      </c>
      <c r="G36" s="2" t="n">
        <v>25</v>
      </c>
      <c r="H36" s="2" t="n">
        <v>120</v>
      </c>
      <c r="I36" s="2" t="inlineStr">
        <is>
          <t>Independent QA run; seed12345; inject at t120; eligible future workload/resources.</t>
        </is>
      </c>
      <c r="J36" s="2" t="inlineStr">
        <is>
          <t>Not Run</t>
        </is>
      </c>
      <c r="K36" s="2" t="inlineStr"/>
      <c r="L36" s="2" t="inlineStr"/>
      <c r="M36" s="2" t="inlineStr"/>
      <c r="N36" s="2" t="inlineStr"/>
    </row>
    <row r="37" ht="75" customHeight="1">
      <c r="A37" s="3" t="inlineStr">
        <is>
          <t>EP-36</t>
        </is>
      </c>
      <c r="B37" s="3" t="inlineStr">
        <is>
          <t>F-047</t>
        </is>
      </c>
      <c r="C37" s="3" t="inlineStr">
        <is>
          <t>Facility closures</t>
        </is>
      </c>
      <c r="D37" s="3" t="inlineStr">
        <is>
          <t>Pet incident / safe recovery interruption</t>
        </is>
      </c>
      <c r="E37" s="3" t="inlineStr">
        <is>
          <t>Services</t>
        </is>
      </c>
      <c r="F37" s="3" t="inlineStr">
        <is>
          <t>closure</t>
        </is>
      </c>
      <c r="G37" s="3" t="n">
        <v>1</v>
      </c>
      <c r="H37" s="3" t="n">
        <v>20</v>
      </c>
      <c r="I37" s="3" t="inlineStr">
        <is>
          <t>Independent QA run; seed12345; inject at t120; eligible future workload/resources.</t>
        </is>
      </c>
      <c r="J37" s="3" t="inlineStr">
        <is>
          <t>Not Run</t>
        </is>
      </c>
      <c r="K37" s="3" t="inlineStr"/>
      <c r="L37" s="3" t="inlineStr"/>
      <c r="M37" s="3" t="inlineStr"/>
      <c r="N37" s="3" t="inlineStr"/>
    </row>
    <row r="38" ht="75" customHeight="1">
      <c r="A38" s="2" t="inlineStr">
        <is>
          <t>EP-37</t>
        </is>
      </c>
      <c r="B38" s="2" t="inlineStr">
        <is>
          <t>F-045</t>
        </is>
      </c>
      <c r="C38" s="2" t="inlineStr">
        <is>
          <t>Staff availability</t>
        </is>
      </c>
      <c r="D38" s="2" t="inlineStr">
        <is>
          <t>Pet requires additional staff assistance</t>
        </is>
      </c>
      <c r="E38" s="2" t="inlineStr">
        <is>
          <t>Services</t>
        </is>
      </c>
      <c r="F38" s="2" t="inlineStr">
        <is>
          <t>staff</t>
        </is>
      </c>
      <c r="G38" s="2" t="n">
        <v>-1</v>
      </c>
      <c r="H38" s="2" t="n">
        <v>20</v>
      </c>
      <c r="I38" s="2" t="inlineStr">
        <is>
          <t>Independent QA run; seed12345; inject at t120; eligible future workload/resources.</t>
        </is>
      </c>
      <c r="J38" s="2" t="inlineStr">
        <is>
          <t>Not Run</t>
        </is>
      </c>
      <c r="K38" s="2" t="inlineStr"/>
      <c r="L38" s="2" t="inlineStr"/>
      <c r="M38" s="2" t="inlineStr"/>
      <c r="N38" s="2" t="inlineStr"/>
    </row>
    <row r="39" ht="75" customHeight="1">
      <c r="A39" s="3" t="inlineStr">
        <is>
          <t>EP-38</t>
        </is>
      </c>
      <c r="B39" s="3" t="inlineStr">
        <is>
          <t>F-052</t>
        </is>
      </c>
      <c r="C39" s="3" t="inlineStr">
        <is>
          <t>Appointment cancellation/no-show/lateness</t>
        </is>
      </c>
      <c r="D39" s="3" t="inlineStr">
        <is>
          <t>Appointments cancelled / rescheduled outside day</t>
        </is>
      </c>
      <c r="E39" s="3" t="inlineStr">
        <is>
          <t>All</t>
        </is>
      </c>
      <c r="F39" s="3" t="inlineStr">
        <is>
          <t>cancel</t>
        </is>
      </c>
      <c r="G39" s="3" t="n">
        <v>20</v>
      </c>
      <c r="H39" s="3" t="n">
        <v>600</v>
      </c>
      <c r="I39" s="3" t="inlineStr">
        <is>
          <t>Independent QA run; seed12345; inject at t120; eligible future workload/resources.</t>
        </is>
      </c>
      <c r="J39" s="3" t="inlineStr">
        <is>
          <t>Not Run</t>
        </is>
      </c>
      <c r="K39" s="3" t="inlineStr"/>
      <c r="L39" s="3" t="inlineStr"/>
      <c r="M39" s="3" t="inlineStr"/>
      <c r="N39" s="3" t="inlineStr"/>
    </row>
    <row r="40" ht="75" customHeight="1">
      <c r="A40" s="2" t="inlineStr">
        <is>
          <t>EP-39</t>
        </is>
      </c>
      <c r="B40" s="2" t="inlineStr">
        <is>
          <t>F-052</t>
        </is>
      </c>
      <c r="C40" s="2" t="inlineStr">
        <is>
          <t>Appointment cancellation/no-show/lateness</t>
        </is>
      </c>
      <c r="D40" s="2" t="inlineStr">
        <is>
          <t>Higher no-show rate</t>
        </is>
      </c>
      <c r="E40" s="2" t="inlineStr">
        <is>
          <t>All</t>
        </is>
      </c>
      <c r="F40" s="2" t="inlineStr">
        <is>
          <t>noShow</t>
        </is>
      </c>
      <c r="G40" s="2" t="n">
        <v>20</v>
      </c>
      <c r="H40" s="2" t="n">
        <v>600</v>
      </c>
      <c r="I40" s="2" t="inlineStr">
        <is>
          <t>Independent QA run; seed12345; inject at t120; eligible future workload/resources.</t>
        </is>
      </c>
      <c r="J40" s="2" t="inlineStr">
        <is>
          <t>Not Run</t>
        </is>
      </c>
      <c r="K40" s="2" t="inlineStr"/>
      <c r="L40" s="2" t="inlineStr"/>
      <c r="M40" s="2" t="inlineStr"/>
      <c r="N40" s="2" t="inlineStr"/>
    </row>
    <row r="41" ht="75" customHeight="1">
      <c r="A41" s="3" t="inlineStr">
        <is>
          <t>EP-40</t>
        </is>
      </c>
      <c r="B41" s="3" t="inlineStr">
        <is>
          <t>F-052</t>
        </is>
      </c>
      <c r="C41" s="3" t="inlineStr">
        <is>
          <t>Appointment cancellation/no-show/lateness</t>
        </is>
      </c>
      <c r="D41" s="3" t="inlineStr">
        <is>
          <t>Late appointments / local traffic</t>
        </is>
      </c>
      <c r="E41" s="3" t="inlineStr">
        <is>
          <t>All</t>
        </is>
      </c>
      <c r="F41" s="3" t="inlineStr">
        <is>
          <t>late</t>
        </is>
      </c>
      <c r="G41" s="3" t="n">
        <v>40</v>
      </c>
      <c r="H41" s="3" t="n">
        <v>120</v>
      </c>
      <c r="I41" s="3" t="inlineStr">
        <is>
          <t>Independent QA run; seed12345; inject at t120; eligible future workload/resources.</t>
        </is>
      </c>
      <c r="J41" s="3" t="inlineStr">
        <is>
          <t>Not Run</t>
        </is>
      </c>
      <c r="K41" s="3" t="inlineStr"/>
      <c r="L41" s="3" t="inlineStr"/>
      <c r="M41" s="3" t="inlineStr"/>
      <c r="N41" s="3" t="inlineStr"/>
    </row>
    <row r="42" ht="75" customHeight="1">
      <c r="A42" s="2" t="inlineStr">
        <is>
          <t>EP-41</t>
        </is>
      </c>
      <c r="B42" s="2" t="inlineStr">
        <is>
          <t>F-050</t>
        </is>
      </c>
      <c r="C42" s="2" t="inlineStr">
        <is>
          <t>Demand surge or reduction</t>
        </is>
      </c>
      <c r="D42" s="2" t="inlineStr">
        <is>
          <t>Peak-hour customer surge</t>
        </is>
      </c>
      <c r="E42" s="2" t="inlineStr">
        <is>
          <t>All</t>
        </is>
      </c>
      <c r="F42" s="2" t="inlineStr">
        <is>
          <t>demand</t>
        </is>
      </c>
      <c r="G42" s="2" t="n">
        <v>1.5</v>
      </c>
      <c r="H42" s="2" t="n">
        <v>120</v>
      </c>
      <c r="I42" s="2" t="inlineStr">
        <is>
          <t>Independent QA run; seed12345; inject at t120; eligible future workload/resources.</t>
        </is>
      </c>
      <c r="J42" s="2" t="inlineStr">
        <is>
          <t>Not Run</t>
        </is>
      </c>
      <c r="K42" s="2" t="inlineStr"/>
      <c r="L42" s="2" t="inlineStr"/>
      <c r="M42" s="2" t="inlineStr"/>
      <c r="N42" s="2" t="inlineStr"/>
    </row>
    <row r="43" ht="75" customHeight="1">
      <c r="A43" s="3" t="inlineStr">
        <is>
          <t>EP-42</t>
        </is>
      </c>
      <c r="B43" s="3" t="inlineStr">
        <is>
          <t>F-050</t>
        </is>
      </c>
      <c r="C43" s="3" t="inlineStr">
        <is>
          <t>Demand surge or reduction</t>
        </is>
      </c>
      <c r="D43" s="3" t="inlineStr">
        <is>
          <t>Promotion / holiday / payday rush</t>
        </is>
      </c>
      <c r="E43" s="3" t="inlineStr">
        <is>
          <t>All</t>
        </is>
      </c>
      <c r="F43" s="3" t="inlineStr">
        <is>
          <t>demand</t>
        </is>
      </c>
      <c r="G43" s="3" t="n">
        <v>1.3</v>
      </c>
      <c r="H43" s="3" t="n">
        <v>600</v>
      </c>
      <c r="I43" s="3" t="inlineStr">
        <is>
          <t>Independent QA run; seed12345; inject at t120; eligible future workload/resources.</t>
        </is>
      </c>
      <c r="J43" s="3" t="inlineStr">
        <is>
          <t>Not Run</t>
        </is>
      </c>
      <c r="K43" s="3" t="inlineStr"/>
      <c r="L43" s="3" t="inlineStr"/>
      <c r="M43" s="3" t="inlineStr"/>
      <c r="N43" s="3" t="inlineStr"/>
    </row>
    <row r="44" ht="75" customHeight="1">
      <c r="A44" s="2" t="inlineStr">
        <is>
          <t>EP-43</t>
        </is>
      </c>
      <c r="B44" s="2" t="inlineStr">
        <is>
          <t>F-050</t>
        </is>
      </c>
      <c r="C44" s="2" t="inlineStr">
        <is>
          <t>Demand surge or reduction</t>
        </is>
      </c>
      <c r="D44" s="2" t="inlineStr">
        <is>
          <t>Rain / extreme heat: lower arrivals</t>
        </is>
      </c>
      <c r="E44" s="2" t="inlineStr">
        <is>
          <t>All</t>
        </is>
      </c>
      <c r="F44" s="2" t="inlineStr">
        <is>
          <t>demand</t>
        </is>
      </c>
      <c r="G44" s="2" t="n">
        <v>0.7</v>
      </c>
      <c r="H44" s="2" t="n">
        <v>120</v>
      </c>
      <c r="I44" s="2" t="inlineStr">
        <is>
          <t>Independent QA run; seed12345; inject at t120; eligible future workload/resources.</t>
        </is>
      </c>
      <c r="J44" s="2" t="inlineStr">
        <is>
          <t>Not Run</t>
        </is>
      </c>
      <c r="K44" s="2" t="inlineStr"/>
      <c r="L44" s="2" t="inlineStr"/>
      <c r="M44" s="2" t="inlineStr"/>
      <c r="N44" s="2" t="inlineStr"/>
    </row>
    <row r="45" ht="75" customHeight="1">
      <c r="A45" s="3" t="inlineStr">
        <is>
          <t>EP-44</t>
        </is>
      </c>
      <c r="B45" s="3" t="inlineStr">
        <is>
          <t>F-050</t>
        </is>
      </c>
      <c r="C45" s="3" t="inlineStr">
        <is>
          <t>Demand surge or reduction</t>
        </is>
      </c>
      <c r="D45" s="3" t="inlineStr">
        <is>
          <t>Low customer turnout</t>
        </is>
      </c>
      <c r="E45" s="3" t="inlineStr">
        <is>
          <t>All</t>
        </is>
      </c>
      <c r="F45" s="3" t="inlineStr">
        <is>
          <t>demand</t>
        </is>
      </c>
      <c r="G45" s="3" t="n">
        <v>0.5</v>
      </c>
      <c r="H45" s="3" t="n">
        <v>600</v>
      </c>
      <c r="I45" s="3" t="inlineStr">
        <is>
          <t>Independent QA run; seed12345; inject at t120; eligible future workload/resources.</t>
        </is>
      </c>
      <c r="J45" s="3" t="inlineStr">
        <is>
          <t>Not Run</t>
        </is>
      </c>
      <c r="K45" s="3" t="inlineStr"/>
      <c r="L45" s="3" t="inlineStr"/>
      <c r="M45" s="3" t="inlineStr"/>
      <c r="N45" s="3" t="inlineStr"/>
    </row>
    <row r="46" ht="75" customHeight="1">
      <c r="A46" s="2" t="inlineStr">
        <is>
          <t>EP-45</t>
        </is>
      </c>
      <c r="B46" s="2" t="inlineStr">
        <is>
          <t>F-045</t>
        </is>
      </c>
      <c r="C46" s="2" t="inlineStr">
        <is>
          <t>Staff availability</t>
        </is>
      </c>
      <c r="D46" s="2" t="inlineStr">
        <is>
          <t>Medical / staff injury operational pause</t>
        </is>
      </c>
      <c r="E46" s="2" t="inlineStr">
        <is>
          <t>Services</t>
        </is>
      </c>
      <c r="F46" s="2" t="inlineStr">
        <is>
          <t>staff</t>
        </is>
      </c>
      <c r="G46" s="2" t="n">
        <v>-1</v>
      </c>
      <c r="H46" s="2" t="n">
        <v>30</v>
      </c>
      <c r="I46" s="2" t="inlineStr">
        <is>
          <t>Independent QA run; seed12345; inject at t120; eligible future workload/resources.</t>
        </is>
      </c>
      <c r="J46" s="2" t="inlineStr">
        <is>
          <t>Not Run</t>
        </is>
      </c>
      <c r="K46" s="2" t="inlineStr"/>
      <c r="L46" s="2" t="inlineStr"/>
      <c r="M46" s="2" t="inlineStr"/>
      <c r="N46" s="2" t="inlineStr"/>
    </row>
    <row r="47" ht="75" customHeight="1">
      <c r="A47" s="3" t="inlineStr">
        <is>
          <t>EP-46</t>
        </is>
      </c>
      <c r="B47" s="3" t="inlineStr">
        <is>
          <t>F-047</t>
        </is>
      </c>
      <c r="C47" s="3" t="inlineStr">
        <is>
          <t>Facility closures</t>
        </is>
      </c>
      <c r="D47" s="3" t="inlineStr">
        <is>
          <t>Fire alarm / evacuation / power outage</t>
        </is>
      </c>
      <c r="E47" s="3" t="inlineStr">
        <is>
          <t>All</t>
        </is>
      </c>
      <c r="F47" s="3" t="inlineStr">
        <is>
          <t>closure</t>
        </is>
      </c>
      <c r="G47" s="3" t="n">
        <v>1</v>
      </c>
      <c r="H47" s="3" t="n">
        <v>30</v>
      </c>
      <c r="I47" s="3" t="inlineStr">
        <is>
          <t>Independent QA run; seed12345; inject at t120; eligible future workload/resources.</t>
        </is>
      </c>
      <c r="J47" s="3" t="inlineStr">
        <is>
          <t>Not Run</t>
        </is>
      </c>
      <c r="K47" s="3" t="inlineStr"/>
      <c r="L47" s="3" t="inlineStr"/>
      <c r="M47" s="3" t="inlineStr"/>
      <c r="N47" s="3" t="inlineStr"/>
    </row>
  </sheetData>
  <autoFilter ref="A1:N47"/>
  <conditionalFormatting sqref="J2:J47">
    <cfRule type="expression" priority="1" dxfId="0">
      <formula>J2="Pass"</formula>
    </cfRule>
    <cfRule type="expression" priority="2" dxfId="1">
      <formula>J2="Fail"</formula>
    </cfRule>
    <cfRule type="expression" priority="3" dxfId="2">
      <formula>J2="Blocked"</formula>
    </cfRule>
    <cfRule type="expression" priority="4" dxfId="3">
      <formula>J2="N/A"</formula>
    </cfRule>
  </conditionalFormatting>
  <dataValidations count="1">
    <dataValidation sqref="J2:J47" showDropDown="0" showInputMessage="0" showErrorMessage="0" allowBlank="0" type="list">
      <formula1>"Not Run,Pass,Fail,Blocked,N/A"</formula1>
    </dataValidation>
  </dataValidation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sheetPr>
  <dimension ref="A1:C16"/>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90" customWidth="1" min="2" max="2"/>
    <col width="90" customWidth="1" min="3" max="3"/>
  </cols>
  <sheetData>
    <row r="1" ht="32" customHeight="1">
      <c r="A1" s="1" t="inlineStr">
        <is>
          <t>Data ID</t>
        </is>
      </c>
      <c r="B1" s="1" t="inlineStr">
        <is>
          <t>Fixture / Setup</t>
        </is>
      </c>
      <c r="C1" s="1" t="inlineStr">
        <is>
          <t>Oracle / Cleanup</t>
        </is>
      </c>
    </row>
    <row r="2">
      <c r="A2" s="2" t="inlineStr">
        <is>
          <t>QA-BASE</t>
        </is>
      </c>
      <c r="B2" s="2" t="inlineStr">
        <is>
          <t>Authorized QA owner, known datasets, backend and required providers available</t>
        </is>
      </c>
      <c r="C2" s="2" t="inlineStr">
        <is>
          <t>Record environment/build and restore baseline between state-changing cases. Never paste passwords/tokens into workbook.</t>
        </is>
      </c>
    </row>
    <row r="3">
      <c r="A3" s="3" t="inlineStr">
        <is>
          <t>QA-AUTH</t>
        </is>
      </c>
      <c r="B3" s="3" t="inlineStr">
        <is>
          <t>Enrolled QA owner, unknown email, unauthorized QA user, disposable unenrolled QA account and QA inbox</t>
        </is>
      </c>
      <c r="C3" s="3" t="inlineStr">
        <is>
          <t>Keep credentials in approved secret store. Password/MFA mutations only dedicated test accounts.</t>
        </is>
      </c>
    </row>
    <row r="4">
      <c r="A4" s="2" t="inlineStr">
        <is>
          <t>QA-UPLOAD</t>
        </is>
      </c>
      <c r="B4" s="2" t="inlineStr">
        <is>
          <t>Approved POS CSV/Excel, Shopee and TikTok export copies; PetHub blocked-input fixture; duplicate, malformed, empty and size-boundary variants</t>
        </is>
      </c>
      <c r="C4" s="2" t="inlineStr">
        <is>
          <t>Use real accepted vendor schema; ledger file is NOT an uploader template. Record raw row count, rejected count and accepted totals before running.</t>
        </is>
      </c>
    </row>
    <row r="5">
      <c r="A5" s="3" t="inlineStr">
        <is>
          <t>QA-LEDGER</t>
        </is>
      </c>
      <c r="B5" s="3" t="inlineStr">
        <is>
          <t>QA_REFERENCE_LEDGER.csv; normalized reference rows, 2026-09-30 vs 2026-10-01</t>
        </is>
      </c>
      <c r="C5" s="3" t="inlineStr">
        <is>
          <t>Map through supported test import/seed mechanism in isolated DB. Expected: prior 900; current gross1320, discounts110, net1210; 5 distinct transactions; 9 units; AOV242; Cafe320/2orders/5units; Services450/1order/1unit; Retail440/2orders/3units; totaldelta310 (34.444...%).</t>
        </is>
      </c>
    </row>
    <row r="6">
      <c r="A6" s="2" t="inlineStr">
        <is>
          <t>QA-FORECAST</t>
        </is>
      </c>
      <c r="B6" s="2" t="inlineStr">
        <is>
          <t>Date with known traffic/hourly forecast plus production/holdout/fixed-window outputs</t>
        </is>
      </c>
      <c r="C6" s="2" t="inlineStr">
        <is>
          <t>Save actual API payload, date/hour range and sector counts as oracle. Forecast totals are not unique-person counts unless explicitly supported.</t>
        </is>
      </c>
    </row>
    <row r="7">
      <c r="A7" s="3" t="inlineStr">
        <is>
          <t>QA-SIM</t>
        </is>
      </c>
      <c r="B7" s="3" t="inlineStr">
        <is>
          <t>Custom scenario: date2026-10-15, open08:00, duration600min, seed12345; Services3staff/3stations, Cafe2staff/2stations, cashier1; enough supply/demand; random events OFF for controlled comparisons</t>
        </is>
      </c>
      <c r="C7" s="3" t="inlineStr">
        <is>
          <t>Record effective exported config. Use 120 customers for event workload or a smaller run for lifecycle. Effects may be zero when no eligible future customers; create targeted demand fixture instead of inventing expected impact.</t>
        </is>
      </c>
    </row>
    <row r="8">
      <c r="A8" s="2" t="inlineStr">
        <is>
          <t>QA-INVENTORY</t>
        </is>
      </c>
      <c r="B8" s="2" t="inlineStr">
        <is>
          <t>QA Pet Shop products: active stock12, active stock0, active stocknull, inactive stock7; nullSKU/threshold; &gt;200 products for pagination; one disposable removal</t>
        </is>
      </c>
      <c r="C8" s="2" t="inlineStr">
        <is>
          <t>Record real UUIDs from QA source; no fake fixed UUIDs required. Restore stock/active/category/deletion test fixtures after run. Source response/API is quantity oracle.</t>
        </is>
      </c>
    </row>
    <row r="9">
      <c r="A9" s="3" t="inlineStr">
        <is>
          <t>QA-BUNDLES</t>
        </is>
      </c>
      <c r="B9" s="3" t="inlineStr">
        <is>
          <t>Receipts with known co-purchase pair; enough support; distinct catalog products; QA-prefixed manual bundles</t>
        </is>
      </c>
      <c r="C9" s="3" t="inlineStr">
        <is>
          <t>Hand-calculate support=count(A&amp;B)/receipts; confidence=count(A&amp;B)/count(A); lift=confidence/support(B); empty-support fixture too.</t>
        </is>
      </c>
    </row>
    <row r="10">
      <c r="A10" s="2" t="inlineStr">
        <is>
          <t>QA-CAMPAIGN</t>
        </is>
      </c>
      <c r="B10" s="2" t="inlineStr">
        <is>
          <t>Disposable recommendation and authorized QA publish destination</t>
        </is>
      </c>
      <c r="C10" s="2" t="inlineStr">
        <is>
          <t>Publishing is external side effect. If no approved QA target, mark publication cases Blocked; do not publish to production.</t>
        </is>
      </c>
    </row>
    <row r="11">
      <c r="A11" s="3" t="inlineStr">
        <is>
          <t>QA-REPORT</t>
        </is>
      </c>
      <c r="B11" s="3" t="inlineStr">
        <is>
          <t>Known-window data, unique QA title, existing and generated disposable reports; no-data and partial-data windows</t>
        </is>
      </c>
      <c r="C11" s="3" t="inlineStr">
        <is>
          <t>Include 30-day boundary and &gt;30-day window. Retain exports for verification; clean created reports afterward.</t>
        </is>
      </c>
    </row>
    <row r="12">
      <c r="A12" s="2" t="inlineStr">
        <is>
          <t>QA-FEEDBACK</t>
        </is>
      </c>
      <c r="B12" s="2" t="inlineStr">
        <is>
          <t>Separate fresh active recommendations for helpful, unhelpful and end-promotion cases</t>
        </is>
      </c>
      <c r="C12" s="2" t="inlineStr">
        <is>
          <t>Feedback changes model inputs; use isolated data and avoid recycling same record for incompatible paths.</t>
        </is>
      </c>
    </row>
    <row r="13">
      <c r="A13" s="3" t="inlineStr">
        <is>
          <t>QA-AUDIT</t>
        </is>
      </c>
      <c r="B13" s="3" t="inlineStr">
        <is>
          <t>Known QA owner action, system action, success/failure/pending events across modules</t>
        </is>
      </c>
      <c r="C13" s="3" t="inlineStr">
        <is>
          <t>Record IDs/timestamps; validate display/export from source, not only screenshot.</t>
        </is>
      </c>
    </row>
    <row r="14">
      <c r="A14" s="2" t="inlineStr">
        <is>
          <t>QA-SETTINGS</t>
        </is>
      </c>
      <c r="B14" s="2" t="inlineStr">
        <is>
          <t>Original settings captured; isolated retention dataset; dedicated password-change account</t>
        </is>
      </c>
      <c r="C14" s="2" t="inlineStr">
        <is>
          <t>Restore original preferences. Retention destructive test requires backup/disposable DB.</t>
        </is>
      </c>
    </row>
    <row r="15">
      <c r="A15" s="3" t="inlineStr">
        <is>
          <t>QA-DESKTOP</t>
        </is>
      </c>
      <c r="B15" s="3" t="inlineStr">
        <is>
          <t>Matching current installers and dedicated app profile per OS</t>
        </is>
      </c>
      <c r="C15" s="3" t="inlineStr">
        <is>
          <t>Record SHA256, architecture, installer date and OS version. Do not assume old Windows/Intel installers contain latest merge.</t>
        </is>
      </c>
    </row>
    <row r="16">
      <c r="A16" t="inlineStr">
        <is>
          <t>QA-ALERTS</t>
        </is>
      </c>
      <c r="B16" t="inlineStr">
        <is>
          <t>Known eligible QA notifications, capacity/quiet-period alerts and threshold scenarios</t>
        </is>
      </c>
      <c r="C16" t="inlineStr">
        <is>
          <t>Record alert IDs, source rule/threshold/date and expected eligibility; use disposable records; restore thresholds and snooze state.</t>
        </is>
      </c>
    </row>
  </sheetData>
  <autoFilter ref="A1:C15"/>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sheetPr>
  <dimension ref="A1:J10"/>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90" customWidth="1" min="2" max="2"/>
    <col width="90" customWidth="1" min="3" max="3"/>
    <col width="90" customWidth="1" min="4" max="4"/>
    <col width="90" customWidth="1" min="5" max="5"/>
    <col width="90" customWidth="1" min="6" max="6"/>
    <col width="90" customWidth="1" min="7" max="7"/>
    <col width="90" customWidth="1" min="8" max="8"/>
    <col width="90" customWidth="1" min="9" max="9"/>
    <col width="90" customWidth="1" min="10" max="10"/>
  </cols>
  <sheetData>
    <row r="1" ht="32" customHeight="1">
      <c r="A1" s="1" t="inlineStr">
        <is>
          <t>Business date</t>
        </is>
      </c>
      <c r="B1" s="1" t="inlineStr">
        <is>
          <t>Transaction ID</t>
        </is>
      </c>
      <c r="C1" s="1" t="inlineStr">
        <is>
          <t>Sector</t>
        </is>
      </c>
      <c r="D1" s="1" t="inlineStr">
        <is>
          <t>Channel</t>
        </is>
      </c>
      <c r="E1" s="1" t="inlineStr">
        <is>
          <t>Reference SKU</t>
        </is>
      </c>
      <c r="F1" s="1" t="inlineStr">
        <is>
          <t>Product</t>
        </is>
      </c>
      <c r="G1" s="1" t="inlineStr">
        <is>
          <t>Qty</t>
        </is>
      </c>
      <c r="H1" s="1" t="inlineStr">
        <is>
          <t>Unit Price</t>
        </is>
      </c>
      <c r="I1" s="1" t="inlineStr">
        <is>
          <t>Discount</t>
        </is>
      </c>
      <c r="J1" s="1" t="inlineStr">
        <is>
          <t>Expected Net</t>
        </is>
      </c>
    </row>
    <row r="2">
      <c r="A2" s="2" t="inlineStr">
        <is>
          <t>2026-09-30</t>
        </is>
      </c>
      <c r="B2" s="2" t="inlineStr">
        <is>
          <t>PC001</t>
        </is>
      </c>
      <c r="C2" s="2" t="inlineStr">
        <is>
          <t>Cafe</t>
        </is>
      </c>
      <c r="D2" s="2" t="inlineStr">
        <is>
          <t>POS</t>
        </is>
      </c>
      <c r="E2" s="2" t="inlineStr">
        <is>
          <t>LATTE-QA</t>
        </is>
      </c>
      <c r="F2" s="2" t="inlineStr">
        <is>
          <t>QA Latte</t>
        </is>
      </c>
      <c r="G2" s="2" t="n">
        <v>3</v>
      </c>
      <c r="H2" s="2" t="n">
        <v>100</v>
      </c>
      <c r="I2" s="2" t="n">
        <v>0</v>
      </c>
      <c r="J2" s="2" t="n">
        <v>300</v>
      </c>
    </row>
    <row r="3">
      <c r="A3" s="3" t="inlineStr">
        <is>
          <t>2026-09-30</t>
        </is>
      </c>
      <c r="B3" s="3" t="inlineStr">
        <is>
          <t>PS001</t>
        </is>
      </c>
      <c r="C3" s="3" t="inlineStr">
        <is>
          <t>Services</t>
        </is>
      </c>
      <c r="D3" s="3" t="inlineStr">
        <is>
          <t>POS</t>
        </is>
      </c>
      <c r="E3" s="3" t="inlineStr">
        <is>
          <t>GROOM-QA</t>
        </is>
      </c>
      <c r="F3" s="3" t="inlineStr">
        <is>
          <t>QA Grooming</t>
        </is>
      </c>
      <c r="G3" s="3" t="n">
        <v>1</v>
      </c>
      <c r="H3" s="3" t="n">
        <v>400</v>
      </c>
      <c r="I3" s="3" t="n">
        <v>0</v>
      </c>
      <c r="J3" s="3" t="n">
        <v>400</v>
      </c>
    </row>
    <row r="4">
      <c r="A4" s="2" t="inlineStr">
        <is>
          <t>2026-09-30</t>
        </is>
      </c>
      <c r="B4" s="2" t="inlineStr">
        <is>
          <t>PR001</t>
        </is>
      </c>
      <c r="C4" s="2" t="inlineStr">
        <is>
          <t>Retail</t>
        </is>
      </c>
      <c r="D4" s="2" t="inlineStr">
        <is>
          <t>POS</t>
        </is>
      </c>
      <c r="E4" s="2" t="inlineStr">
        <is>
          <t>FOOD-QA</t>
        </is>
      </c>
      <c r="F4" s="2" t="inlineStr">
        <is>
          <t>QA Pet Food</t>
        </is>
      </c>
      <c r="G4" s="2" t="n">
        <v>1</v>
      </c>
      <c r="H4" s="2" t="n">
        <v>200</v>
      </c>
      <c r="I4" s="2" t="n">
        <v>0</v>
      </c>
      <c r="J4" s="2" t="n">
        <v>200</v>
      </c>
    </row>
    <row r="5">
      <c r="A5" s="3" t="inlineStr">
        <is>
          <t>2026-10-01</t>
        </is>
      </c>
      <c r="B5" s="3" t="inlineStr">
        <is>
          <t>C001</t>
        </is>
      </c>
      <c r="C5" s="3" t="inlineStr">
        <is>
          <t>Cafe</t>
        </is>
      </c>
      <c r="D5" s="3" t="inlineStr">
        <is>
          <t>POS</t>
        </is>
      </c>
      <c r="E5" s="3" t="inlineStr">
        <is>
          <t>LATTE-QA</t>
        </is>
      </c>
      <c r="F5" s="3" t="inlineStr">
        <is>
          <t>QA Latte</t>
        </is>
      </c>
      <c r="G5" s="3" t="n">
        <v>2</v>
      </c>
      <c r="H5" s="3" t="n">
        <v>100</v>
      </c>
      <c r="I5" s="3" t="n">
        <v>20</v>
      </c>
      <c r="J5" s="3" t="n">
        <v>180</v>
      </c>
    </row>
    <row r="6">
      <c r="A6" s="2" t="inlineStr">
        <is>
          <t>2026-10-01</t>
        </is>
      </c>
      <c r="B6" s="2" t="inlineStr">
        <is>
          <t>C001</t>
        </is>
      </c>
      <c r="C6" s="2" t="inlineStr">
        <is>
          <t>Cafe</t>
        </is>
      </c>
      <c r="D6" s="2" t="inlineStr">
        <is>
          <t>POS</t>
        </is>
      </c>
      <c r="E6" s="2" t="inlineStr">
        <is>
          <t>MUFFIN-QA</t>
        </is>
      </c>
      <c r="F6" s="2" t="inlineStr">
        <is>
          <t>QA Muffin</t>
        </is>
      </c>
      <c r="G6" s="2" t="n">
        <v>1</v>
      </c>
      <c r="H6" s="2" t="n">
        <v>60</v>
      </c>
      <c r="I6" s="2" t="n">
        <v>0</v>
      </c>
      <c r="J6" s="2" t="n">
        <v>60</v>
      </c>
    </row>
    <row r="7">
      <c r="A7" s="3" t="inlineStr">
        <is>
          <t>2026-10-01</t>
        </is>
      </c>
      <c r="B7" s="3" t="inlineStr">
        <is>
          <t>C002</t>
        </is>
      </c>
      <c r="C7" s="3" t="inlineStr">
        <is>
          <t>Cafe</t>
        </is>
      </c>
      <c r="D7" s="3" t="inlineStr">
        <is>
          <t>POS</t>
        </is>
      </c>
      <c r="E7" s="3" t="inlineStr">
        <is>
          <t>COOKIE-QA</t>
        </is>
      </c>
      <c r="F7" s="3" t="inlineStr">
        <is>
          <t>QA Pet Cookie</t>
        </is>
      </c>
      <c r="G7" s="3" t="n">
        <v>2</v>
      </c>
      <c r="H7" s="3" t="n">
        <v>40</v>
      </c>
      <c r="I7" s="3" t="n">
        <v>0</v>
      </c>
      <c r="J7" s="3" t="n">
        <v>80</v>
      </c>
    </row>
    <row r="8">
      <c r="A8" s="2" t="inlineStr">
        <is>
          <t>2026-10-01</t>
        </is>
      </c>
      <c r="B8" s="2" t="inlineStr">
        <is>
          <t>S001</t>
        </is>
      </c>
      <c r="C8" s="2" t="inlineStr">
        <is>
          <t>Services</t>
        </is>
      </c>
      <c r="D8" s="2" t="inlineStr">
        <is>
          <t>POS</t>
        </is>
      </c>
      <c r="E8" s="2" t="inlineStr">
        <is>
          <t>GROOM-QA</t>
        </is>
      </c>
      <c r="F8" s="2" t="inlineStr">
        <is>
          <t>QA Grooming</t>
        </is>
      </c>
      <c r="G8" s="2" t="n">
        <v>1</v>
      </c>
      <c r="H8" s="2" t="n">
        <v>500</v>
      </c>
      <c r="I8" s="2" t="n">
        <v>50</v>
      </c>
      <c r="J8" s="2" t="n">
        <v>450</v>
      </c>
    </row>
    <row r="9">
      <c r="A9" s="3" t="inlineStr">
        <is>
          <t>2026-10-01</t>
        </is>
      </c>
      <c r="B9" s="3" t="inlineStr">
        <is>
          <t>R001</t>
        </is>
      </c>
      <c r="C9" s="3" t="inlineStr">
        <is>
          <t>Retail</t>
        </is>
      </c>
      <c r="D9" s="3" t="inlineStr">
        <is>
          <t>POS</t>
        </is>
      </c>
      <c r="E9" s="3" t="inlineStr">
        <is>
          <t>FOOD-QA</t>
        </is>
      </c>
      <c r="F9" s="3" t="inlineStr">
        <is>
          <t>QA Pet Food</t>
        </is>
      </c>
      <c r="G9" s="3" t="n">
        <v>2</v>
      </c>
      <c r="H9" s="3" t="n">
        <v>200</v>
      </c>
      <c r="I9" s="3" t="n">
        <v>40</v>
      </c>
      <c r="J9" s="3" t="n">
        <v>360</v>
      </c>
    </row>
    <row r="10">
      <c r="A10" s="2" t="inlineStr">
        <is>
          <t>2026-10-01</t>
        </is>
      </c>
      <c r="B10" s="2" t="inlineStr">
        <is>
          <t>R002</t>
        </is>
      </c>
      <c r="C10" s="2" t="inlineStr">
        <is>
          <t>Retail</t>
        </is>
      </c>
      <c r="D10" s="2" t="inlineStr">
        <is>
          <t>POS</t>
        </is>
      </c>
      <c r="E10" s="2" t="inlineStr">
        <is>
          <t>TREAT-QA</t>
        </is>
      </c>
      <c r="F10" s="2" t="inlineStr">
        <is>
          <t>QA Treat</t>
        </is>
      </c>
      <c r="G10" s="2" t="n">
        <v>1</v>
      </c>
      <c r="H10" s="2" t="n">
        <v>80</v>
      </c>
      <c r="I10" s="2" t="n">
        <v>0</v>
      </c>
      <c r="J10" s="2" t="n">
        <v>80</v>
      </c>
    </row>
  </sheetData>
  <autoFilter ref="A1:J10"/>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sheetPr>
  <dimension ref="A1:E1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90" customWidth="1" min="2" max="2"/>
    <col width="90" customWidth="1" min="3" max="3"/>
    <col width="90" customWidth="1" min="4" max="4"/>
    <col width="90" customWidth="1" min="5" max="5"/>
  </cols>
  <sheetData>
    <row r="1" ht="32" customHeight="1">
      <c r="A1" s="1" t="inlineStr">
        <is>
          <t>Observation ID</t>
        </is>
      </c>
      <c r="B1" s="1" t="inlineStr">
        <is>
          <t>Area</t>
        </is>
      </c>
      <c r="C1" s="1" t="inlineStr">
        <is>
          <t>Source observation (not yet a QA failure)</t>
        </is>
      </c>
      <c r="D1" s="1" t="inlineStr">
        <is>
          <t>QA instruction</t>
        </is>
      </c>
      <c r="E1" s="1" t="inlineStr">
        <is>
          <t>Related cases</t>
        </is>
      </c>
    </row>
    <row r="2">
      <c r="A2" s="2" t="inlineStr">
        <is>
          <t>OBS-01</t>
        </is>
      </c>
      <c r="B2" s="2" t="inlineStr">
        <is>
          <t>Services Snooze / Retail Review / Prescriptive Approve-Dismiss</t>
        </is>
      </c>
      <c r="C2" s="2" t="inlineStr">
        <is>
          <t>Source includes buttons with no obvious action handler in current JSX.</t>
        </is>
      </c>
      <c r="D2" s="2" t="inlineStr">
        <is>
          <t>Test visible control; file a dead-action defect if no effect or explicit disabled state.</t>
        </is>
      </c>
      <c r="E2" s="2" t="inlineStr">
        <is>
          <t>SVC / RETAIL / EXTRA</t>
        </is>
      </c>
    </row>
    <row r="3">
      <c r="A3" s="3" t="inlineStr">
        <is>
          <t>OBS-02</t>
        </is>
      </c>
      <c r="B3" s="3" t="inlineStr">
        <is>
          <t>Forgot Password legacy states</t>
        </is>
      </c>
      <c r="C3" s="3" t="inlineStr">
        <is>
          <t>OTP/newPassword branches remain in source although successful send now closes dialog and uses emailed secure link.</t>
        </is>
      </c>
      <c r="D3" s="3" t="inlineStr">
        <is>
          <t>Test current email-link flow; N/A legacy branch only after reachability evidence. Misleading Send OTP copy is a wording defect.</t>
        </is>
      </c>
      <c r="E3" s="3" t="inlineStr">
        <is>
          <t>AUTH</t>
        </is>
      </c>
    </row>
    <row r="4">
      <c r="A4" s="2" t="inlineStr">
        <is>
          <t>OBS-03</t>
        </is>
      </c>
      <c r="B4" s="2" t="inlineStr">
        <is>
          <t>Settings system metadata</t>
        </is>
      </c>
      <c r="C4" s="2" t="inlineStr">
        <is>
          <t>Version, last-model-update, model list, transaction count and operational text include fixed literals.</t>
        </is>
      </c>
      <c r="D4" s="2" t="inlineStr">
        <is>
          <t>Compare to actual build/providers/data. Static factual claims must be labeled or logged as defects.</t>
        </is>
      </c>
      <c r="E4" s="2" t="inlineStr">
        <is>
          <t>SET</t>
        </is>
      </c>
    </row>
    <row r="5">
      <c r="A5" s="3" t="inlineStr">
        <is>
          <t>OBS-04</t>
        </is>
      </c>
      <c r="B5" s="3" t="inlineStr">
        <is>
          <t>MFA server-rendered enrollment</t>
        </is>
      </c>
      <c r="C5" s="3" t="inlineStr">
        <is>
          <t>Website enrollment requires live Next server; desktop bundle currently provides guidance rather than full first-time enrollment.</t>
        </is>
      </c>
      <c r="D5" s="3" t="inlineStr">
        <is>
          <t>Verify current documented desktop behavior; record release scope/requirement decision. Do not mark full native enrollment passed.</t>
        </is>
      </c>
      <c r="E5" s="3" t="inlineStr">
        <is>
          <t>AUTH / DESK</t>
        </is>
      </c>
    </row>
    <row r="6">
      <c r="A6" s="2" t="inlineStr">
        <is>
          <t>OBS-05</t>
        </is>
      </c>
      <c r="B6" s="2" t="inlineStr">
        <is>
          <t>Additional non-sidebar routes</t>
        </is>
      </c>
      <c r="C6" s="2" t="inlineStr">
        <is>
          <t>Executive Overview, Behavioral Bridges and Prescriptive Intelligence have direct pages; RecursiveLearning component has no current page wrapper.</t>
        </is>
      </c>
      <c r="D6" s="2" t="inlineStr">
        <is>
          <t>Test reachable direct routes; scope absent component explicitly, not as a passing feature.</t>
        </is>
      </c>
      <c r="E6" s="2" t="inlineStr">
        <is>
          <t>EXTRA</t>
        </is>
      </c>
    </row>
    <row r="7">
      <c r="A7" s="3" t="inlineStr">
        <is>
          <t>OBS-06</t>
        </is>
      </c>
      <c r="B7" s="3" t="inlineStr">
        <is>
          <t>Percentages and bounded displays</t>
        </is>
      </c>
      <c r="C7" s="3" t="inlineStr">
        <is>
          <t>Some incoming diagnostic percent outputs clamp extremes.</t>
        </is>
      </c>
      <c r="D7" s="3" t="inlineStr">
        <is>
          <t>Compare mathematical delta with UI; if clipped, the display must not claim an exact uncapped percentage. Record mismatch as defect.</t>
        </is>
      </c>
      <c r="E7" s="3" t="inlineStr">
        <is>
          <t>ROOT / QUALITY</t>
        </is>
      </c>
    </row>
    <row r="8">
      <c r="A8" s="2" t="inlineStr">
        <is>
          <t>OBS-07</t>
        </is>
      </c>
      <c r="B8" s="2" t="inlineStr">
        <is>
          <t>Forecast vs baseline source</t>
        </is>
      </c>
      <c r="C8" s="2" t="inlineStr">
        <is>
          <t>Operations defaults may use historical average unless Traffic forecast selected.</t>
        </is>
      </c>
      <c r="D8" s="2" t="inlineStr">
        <is>
          <t>Record selected source; verify date and hourly total. Never assume every run uses forecast automatically.</t>
        </is>
      </c>
      <c r="E8" s="2" t="inlineStr">
        <is>
          <t>WHATIF</t>
        </is>
      </c>
    </row>
    <row r="9">
      <c r="A9" s="3" t="inlineStr">
        <is>
          <t>OBS-08</t>
        </is>
      </c>
      <c r="B9" s="3" t="inlineStr">
        <is>
          <t>Inventory limitations</t>
        </is>
      </c>
      <c r="C9" s="3" t="inlineStr">
        <is>
          <t>Current snapshot lacks batch/expiry/retailSKU/reorder fields and guaranteed frozen multi-page timestamp.</t>
        </is>
      </c>
      <c r="D9" s="3" t="inlineStr">
        <is>
          <t>Unknowns stay unknown; do not demand unsupported business calculations or accept invented data.</t>
        </is>
      </c>
      <c r="E9" s="3" t="inlineStr">
        <is>
          <t>INV</t>
        </is>
      </c>
    </row>
    <row r="10">
      <c r="A10" s="2" t="inlineStr">
        <is>
          <t>OBS-09</t>
        </is>
      </c>
      <c r="B10" s="2" t="inlineStr">
        <is>
          <t>Historical empty periods</t>
        </is>
      </c>
      <c r="C10" s="2" t="inlineStr">
        <is>
          <t>No current records can mathematically show a 100% decline against prior data.</t>
        </is>
      </c>
      <c r="D10" s="2" t="inlineStr">
        <is>
          <t>Verify row counts/window; missing records must not become confident causal explanation of actual business loss.</t>
        </is>
      </c>
      <c r="E10" s="2" t="inlineStr">
        <is>
          <t>ROOT</t>
        </is>
      </c>
    </row>
    <row r="11">
      <c r="A11" s="3" t="inlineStr">
        <is>
          <t>OBS-10</t>
        </is>
      </c>
      <c r="B11" s="3" t="inlineStr">
        <is>
          <t>Installer scope</t>
        </is>
      </c>
      <c r="C11" s="3" t="inlineStr">
        <is>
          <t>Apple Silicon installer recently rebuilt; other platform files may be older.</t>
        </is>
      </c>
      <c r="D11" s="3" t="inlineStr">
        <is>
          <t>Verify tested artifact hash/build before assigning cross-platform results.</t>
        </is>
      </c>
      <c r="E11" s="3" t="inlineStr">
        <is>
          <t>DESK</t>
        </is>
      </c>
    </row>
  </sheetData>
  <autoFilter ref="A1:E11"/>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sheetPr>
  <dimension ref="A1:L6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55" customWidth="1" min="3" max="3"/>
    <col width="25" customWidth="1" min="4" max="4"/>
    <col width="25" customWidth="1" min="5" max="5"/>
    <col width="95" customWidth="1" min="6" max="6"/>
    <col width="85" customWidth="1" min="7" max="7"/>
    <col width="85" customWidth="1" min="8" max="8"/>
    <col width="25" customWidth="1" min="9" max="9"/>
    <col width="25" customWidth="1" min="10" max="10"/>
    <col width="25" customWidth="1" min="11" max="11"/>
    <col width="65" customWidth="1" min="12" max="12"/>
  </cols>
  <sheetData>
    <row r="1" ht="32" customHeight="1">
      <c r="A1" s="1" t="inlineStr">
        <is>
          <t>Bug ID</t>
        </is>
      </c>
      <c r="B1" s="1" t="inlineStr">
        <is>
          <t>Feature / Test ID</t>
        </is>
      </c>
      <c r="C1" s="1" t="inlineStr">
        <is>
          <t>Title</t>
        </is>
      </c>
      <c r="D1" s="1" t="inlineStr">
        <is>
          <t>Severity</t>
        </is>
      </c>
      <c r="E1" s="1" t="inlineStr">
        <is>
          <t>Build / Environment</t>
        </is>
      </c>
      <c r="F1" s="1" t="inlineStr">
        <is>
          <t>Steps to Reproduce</t>
        </is>
      </c>
      <c r="G1" s="1" t="inlineStr">
        <is>
          <t>Expected</t>
        </is>
      </c>
      <c r="H1" s="1" t="inlineStr">
        <is>
          <t>Actual</t>
        </is>
      </c>
      <c r="I1" s="1" t="inlineStr">
        <is>
          <t>Evidence</t>
        </is>
      </c>
      <c r="J1" s="1" t="inlineStr">
        <is>
          <t>Owner</t>
        </is>
      </c>
      <c r="K1" s="1" t="inlineStr">
        <is>
          <t>Status</t>
        </is>
      </c>
      <c r="L1" s="1" t="inlineStr">
        <is>
          <t>Retest / Resolution</t>
        </is>
      </c>
    </row>
    <row r="2">
      <c r="A2" s="2" t="inlineStr">
        <is>
          <t>BUG-001</t>
        </is>
      </c>
      <c r="B2" s="2" t="inlineStr"/>
      <c r="C2" s="2" t="inlineStr"/>
      <c r="D2" s="2" t="inlineStr"/>
      <c r="E2" s="2" t="inlineStr"/>
      <c r="F2" s="2" t="inlineStr"/>
      <c r="G2" s="2" t="inlineStr"/>
      <c r="H2" s="2" t="inlineStr"/>
      <c r="I2" s="2" t="inlineStr"/>
      <c r="J2" s="2" t="inlineStr"/>
      <c r="K2" s="2" t="inlineStr"/>
      <c r="L2" s="2" t="inlineStr"/>
    </row>
    <row r="3">
      <c r="A3" s="3" t="inlineStr">
        <is>
          <t>BUG-002</t>
        </is>
      </c>
      <c r="B3" s="3" t="inlineStr"/>
      <c r="C3" s="3" t="inlineStr"/>
      <c r="D3" s="3" t="inlineStr"/>
      <c r="E3" s="3" t="inlineStr"/>
      <c r="F3" s="3" t="inlineStr"/>
      <c r="G3" s="3" t="inlineStr"/>
      <c r="H3" s="3" t="inlineStr"/>
      <c r="I3" s="3" t="inlineStr"/>
      <c r="J3" s="3" t="inlineStr"/>
      <c r="K3" s="3" t="inlineStr"/>
      <c r="L3" s="3" t="inlineStr"/>
    </row>
    <row r="4">
      <c r="A4" s="2" t="inlineStr">
        <is>
          <t>BUG-003</t>
        </is>
      </c>
      <c r="B4" s="2" t="inlineStr"/>
      <c r="C4" s="2" t="inlineStr"/>
      <c r="D4" s="2" t="inlineStr"/>
      <c r="E4" s="2" t="inlineStr"/>
      <c r="F4" s="2" t="inlineStr"/>
      <c r="G4" s="2" t="inlineStr"/>
      <c r="H4" s="2" t="inlineStr"/>
      <c r="I4" s="2" t="inlineStr"/>
      <c r="J4" s="2" t="inlineStr"/>
      <c r="K4" s="2" t="inlineStr"/>
      <c r="L4" s="2" t="inlineStr"/>
    </row>
    <row r="5">
      <c r="A5" s="3" t="inlineStr">
        <is>
          <t>BUG-004</t>
        </is>
      </c>
      <c r="B5" s="3" t="inlineStr"/>
      <c r="C5" s="3" t="inlineStr"/>
      <c r="D5" s="3" t="inlineStr"/>
      <c r="E5" s="3" t="inlineStr"/>
      <c r="F5" s="3" t="inlineStr"/>
      <c r="G5" s="3" t="inlineStr"/>
      <c r="H5" s="3" t="inlineStr"/>
      <c r="I5" s="3" t="inlineStr"/>
      <c r="J5" s="3" t="inlineStr"/>
      <c r="K5" s="3" t="inlineStr"/>
      <c r="L5" s="3" t="inlineStr"/>
    </row>
    <row r="6">
      <c r="A6" s="2" t="inlineStr">
        <is>
          <t>BUG-005</t>
        </is>
      </c>
      <c r="B6" s="2" t="inlineStr"/>
      <c r="C6" s="2" t="inlineStr"/>
      <c r="D6" s="2" t="inlineStr"/>
      <c r="E6" s="2" t="inlineStr"/>
      <c r="F6" s="2" t="inlineStr"/>
      <c r="G6" s="2" t="inlineStr"/>
      <c r="H6" s="2" t="inlineStr"/>
      <c r="I6" s="2" t="inlineStr"/>
      <c r="J6" s="2" t="inlineStr"/>
      <c r="K6" s="2" t="inlineStr"/>
      <c r="L6" s="2" t="inlineStr"/>
    </row>
    <row r="7">
      <c r="A7" s="3" t="inlineStr">
        <is>
          <t>BUG-006</t>
        </is>
      </c>
      <c r="B7" s="3" t="inlineStr"/>
      <c r="C7" s="3" t="inlineStr"/>
      <c r="D7" s="3" t="inlineStr"/>
      <c r="E7" s="3" t="inlineStr"/>
      <c r="F7" s="3" t="inlineStr"/>
      <c r="G7" s="3" t="inlineStr"/>
      <c r="H7" s="3" t="inlineStr"/>
      <c r="I7" s="3" t="inlineStr"/>
      <c r="J7" s="3" t="inlineStr"/>
      <c r="K7" s="3" t="inlineStr"/>
      <c r="L7" s="3" t="inlineStr"/>
    </row>
    <row r="8">
      <c r="A8" s="2" t="inlineStr">
        <is>
          <t>BUG-007</t>
        </is>
      </c>
      <c r="B8" s="2" t="inlineStr"/>
      <c r="C8" s="2" t="inlineStr"/>
      <c r="D8" s="2" t="inlineStr"/>
      <c r="E8" s="2" t="inlineStr"/>
      <c r="F8" s="2" t="inlineStr"/>
      <c r="G8" s="2" t="inlineStr"/>
      <c r="H8" s="2" t="inlineStr"/>
      <c r="I8" s="2" t="inlineStr"/>
      <c r="J8" s="2" t="inlineStr"/>
      <c r="K8" s="2" t="inlineStr"/>
      <c r="L8" s="2" t="inlineStr"/>
    </row>
    <row r="9">
      <c r="A9" s="3" t="inlineStr">
        <is>
          <t>BUG-008</t>
        </is>
      </c>
      <c r="B9" s="3" t="inlineStr"/>
      <c r="C9" s="3" t="inlineStr"/>
      <c r="D9" s="3" t="inlineStr"/>
      <c r="E9" s="3" t="inlineStr"/>
      <c r="F9" s="3" t="inlineStr"/>
      <c r="G9" s="3" t="inlineStr"/>
      <c r="H9" s="3" t="inlineStr"/>
      <c r="I9" s="3" t="inlineStr"/>
      <c r="J9" s="3" t="inlineStr"/>
      <c r="K9" s="3" t="inlineStr"/>
      <c r="L9" s="3" t="inlineStr"/>
    </row>
    <row r="10">
      <c r="A10" s="2" t="inlineStr">
        <is>
          <t>BUG-009</t>
        </is>
      </c>
      <c r="B10" s="2" t="inlineStr"/>
      <c r="C10" s="2" t="inlineStr"/>
      <c r="D10" s="2" t="inlineStr"/>
      <c r="E10" s="2" t="inlineStr"/>
      <c r="F10" s="2" t="inlineStr"/>
      <c r="G10" s="2" t="inlineStr"/>
      <c r="H10" s="2" t="inlineStr"/>
      <c r="I10" s="2" t="inlineStr"/>
      <c r="J10" s="2" t="inlineStr"/>
      <c r="K10" s="2" t="inlineStr"/>
      <c r="L10" s="2" t="inlineStr"/>
    </row>
    <row r="11">
      <c r="A11" s="3" t="inlineStr">
        <is>
          <t>BUG-010</t>
        </is>
      </c>
      <c r="B11" s="3" t="inlineStr"/>
      <c r="C11" s="3" t="inlineStr"/>
      <c r="D11" s="3" t="inlineStr"/>
      <c r="E11" s="3" t="inlineStr"/>
      <c r="F11" s="3" t="inlineStr"/>
      <c r="G11" s="3" t="inlineStr"/>
      <c r="H11" s="3" t="inlineStr"/>
      <c r="I11" s="3" t="inlineStr"/>
      <c r="J11" s="3" t="inlineStr"/>
      <c r="K11" s="3" t="inlineStr"/>
      <c r="L11" s="3" t="inlineStr"/>
    </row>
    <row r="12">
      <c r="A12" s="2" t="inlineStr">
        <is>
          <t>BUG-011</t>
        </is>
      </c>
      <c r="B12" s="2" t="inlineStr"/>
      <c r="C12" s="2" t="inlineStr"/>
      <c r="D12" s="2" t="inlineStr"/>
      <c r="E12" s="2" t="inlineStr"/>
      <c r="F12" s="2" t="inlineStr"/>
      <c r="G12" s="2" t="inlineStr"/>
      <c r="H12" s="2" t="inlineStr"/>
      <c r="I12" s="2" t="inlineStr"/>
      <c r="J12" s="2" t="inlineStr"/>
      <c r="K12" s="2" t="inlineStr"/>
      <c r="L12" s="2" t="inlineStr"/>
    </row>
    <row r="13">
      <c r="A13" s="3" t="inlineStr">
        <is>
          <t>BUG-012</t>
        </is>
      </c>
      <c r="B13" s="3" t="inlineStr"/>
      <c r="C13" s="3" t="inlineStr"/>
      <c r="D13" s="3" t="inlineStr"/>
      <c r="E13" s="3" t="inlineStr"/>
      <c r="F13" s="3" t="inlineStr"/>
      <c r="G13" s="3" t="inlineStr"/>
      <c r="H13" s="3" t="inlineStr"/>
      <c r="I13" s="3" t="inlineStr"/>
      <c r="J13" s="3" t="inlineStr"/>
      <c r="K13" s="3" t="inlineStr"/>
      <c r="L13" s="3" t="inlineStr"/>
    </row>
    <row r="14">
      <c r="A14" s="2" t="inlineStr">
        <is>
          <t>BUG-013</t>
        </is>
      </c>
      <c r="B14" s="2" t="inlineStr"/>
      <c r="C14" s="2" t="inlineStr"/>
      <c r="D14" s="2" t="inlineStr"/>
      <c r="E14" s="2" t="inlineStr"/>
      <c r="F14" s="2" t="inlineStr"/>
      <c r="G14" s="2" t="inlineStr"/>
      <c r="H14" s="2" t="inlineStr"/>
      <c r="I14" s="2" t="inlineStr"/>
      <c r="J14" s="2" t="inlineStr"/>
      <c r="K14" s="2" t="inlineStr"/>
      <c r="L14" s="2" t="inlineStr"/>
    </row>
    <row r="15">
      <c r="A15" s="3" t="inlineStr">
        <is>
          <t>BUG-014</t>
        </is>
      </c>
      <c r="B15" s="3" t="inlineStr"/>
      <c r="C15" s="3" t="inlineStr"/>
      <c r="D15" s="3" t="inlineStr"/>
      <c r="E15" s="3" t="inlineStr"/>
      <c r="F15" s="3" t="inlineStr"/>
      <c r="G15" s="3" t="inlineStr"/>
      <c r="H15" s="3" t="inlineStr"/>
      <c r="I15" s="3" t="inlineStr"/>
      <c r="J15" s="3" t="inlineStr"/>
      <c r="K15" s="3" t="inlineStr"/>
      <c r="L15" s="3" t="inlineStr"/>
    </row>
    <row r="16">
      <c r="A16" s="2" t="inlineStr">
        <is>
          <t>BUG-015</t>
        </is>
      </c>
      <c r="B16" s="2" t="inlineStr"/>
      <c r="C16" s="2" t="inlineStr"/>
      <c r="D16" s="2" t="inlineStr"/>
      <c r="E16" s="2" t="inlineStr"/>
      <c r="F16" s="2" t="inlineStr"/>
      <c r="G16" s="2" t="inlineStr"/>
      <c r="H16" s="2" t="inlineStr"/>
      <c r="I16" s="2" t="inlineStr"/>
      <c r="J16" s="2" t="inlineStr"/>
      <c r="K16" s="2" t="inlineStr"/>
      <c r="L16" s="2" t="inlineStr"/>
    </row>
    <row r="17">
      <c r="A17" s="3" t="inlineStr">
        <is>
          <t>BUG-016</t>
        </is>
      </c>
      <c r="B17" s="3" t="inlineStr"/>
      <c r="C17" s="3" t="inlineStr"/>
      <c r="D17" s="3" t="inlineStr"/>
      <c r="E17" s="3" t="inlineStr"/>
      <c r="F17" s="3" t="inlineStr"/>
      <c r="G17" s="3" t="inlineStr"/>
      <c r="H17" s="3" t="inlineStr"/>
      <c r="I17" s="3" t="inlineStr"/>
      <c r="J17" s="3" t="inlineStr"/>
      <c r="K17" s="3" t="inlineStr"/>
      <c r="L17" s="3" t="inlineStr"/>
    </row>
    <row r="18">
      <c r="A18" s="2" t="inlineStr">
        <is>
          <t>BUG-017</t>
        </is>
      </c>
      <c r="B18" s="2" t="inlineStr"/>
      <c r="C18" s="2" t="inlineStr"/>
      <c r="D18" s="2" t="inlineStr"/>
      <c r="E18" s="2" t="inlineStr"/>
      <c r="F18" s="2" t="inlineStr"/>
      <c r="G18" s="2" t="inlineStr"/>
      <c r="H18" s="2" t="inlineStr"/>
      <c r="I18" s="2" t="inlineStr"/>
      <c r="J18" s="2" t="inlineStr"/>
      <c r="K18" s="2" t="inlineStr"/>
      <c r="L18" s="2" t="inlineStr"/>
    </row>
    <row r="19">
      <c r="A19" s="3" t="inlineStr">
        <is>
          <t>BUG-018</t>
        </is>
      </c>
      <c r="B19" s="3" t="inlineStr"/>
      <c r="C19" s="3" t="inlineStr"/>
      <c r="D19" s="3" t="inlineStr"/>
      <c r="E19" s="3" t="inlineStr"/>
      <c r="F19" s="3" t="inlineStr"/>
      <c r="G19" s="3" t="inlineStr"/>
      <c r="H19" s="3" t="inlineStr"/>
      <c r="I19" s="3" t="inlineStr"/>
      <c r="J19" s="3" t="inlineStr"/>
      <c r="K19" s="3" t="inlineStr"/>
      <c r="L19" s="3" t="inlineStr"/>
    </row>
    <row r="20">
      <c r="A20" s="2" t="inlineStr">
        <is>
          <t>BUG-019</t>
        </is>
      </c>
      <c r="B20" s="2" t="inlineStr"/>
      <c r="C20" s="2" t="inlineStr"/>
      <c r="D20" s="2" t="inlineStr"/>
      <c r="E20" s="2" t="inlineStr"/>
      <c r="F20" s="2" t="inlineStr"/>
      <c r="G20" s="2" t="inlineStr"/>
      <c r="H20" s="2" t="inlineStr"/>
      <c r="I20" s="2" t="inlineStr"/>
      <c r="J20" s="2" t="inlineStr"/>
      <c r="K20" s="2" t="inlineStr"/>
      <c r="L20" s="2" t="inlineStr"/>
    </row>
    <row r="21">
      <c r="A21" s="3" t="inlineStr">
        <is>
          <t>BUG-020</t>
        </is>
      </c>
      <c r="B21" s="3" t="inlineStr"/>
      <c r="C21" s="3" t="inlineStr"/>
      <c r="D21" s="3" t="inlineStr"/>
      <c r="E21" s="3" t="inlineStr"/>
      <c r="F21" s="3" t="inlineStr"/>
      <c r="G21" s="3" t="inlineStr"/>
      <c r="H21" s="3" t="inlineStr"/>
      <c r="I21" s="3" t="inlineStr"/>
      <c r="J21" s="3" t="inlineStr"/>
      <c r="K21" s="3" t="inlineStr"/>
      <c r="L21" s="3" t="inlineStr"/>
    </row>
    <row r="22">
      <c r="A22" s="2" t="inlineStr">
        <is>
          <t>BUG-021</t>
        </is>
      </c>
      <c r="B22" s="2" t="inlineStr"/>
      <c r="C22" s="2" t="inlineStr"/>
      <c r="D22" s="2" t="inlineStr"/>
      <c r="E22" s="2" t="inlineStr"/>
      <c r="F22" s="2" t="inlineStr"/>
      <c r="G22" s="2" t="inlineStr"/>
      <c r="H22" s="2" t="inlineStr"/>
      <c r="I22" s="2" t="inlineStr"/>
      <c r="J22" s="2" t="inlineStr"/>
      <c r="K22" s="2" t="inlineStr"/>
      <c r="L22" s="2" t="inlineStr"/>
    </row>
    <row r="23">
      <c r="A23" s="3" t="inlineStr">
        <is>
          <t>BUG-022</t>
        </is>
      </c>
      <c r="B23" s="3" t="inlineStr"/>
      <c r="C23" s="3" t="inlineStr"/>
      <c r="D23" s="3" t="inlineStr"/>
      <c r="E23" s="3" t="inlineStr"/>
      <c r="F23" s="3" t="inlineStr"/>
      <c r="G23" s="3" t="inlineStr"/>
      <c r="H23" s="3" t="inlineStr"/>
      <c r="I23" s="3" t="inlineStr"/>
      <c r="J23" s="3" t="inlineStr"/>
      <c r="K23" s="3" t="inlineStr"/>
      <c r="L23" s="3" t="inlineStr"/>
    </row>
    <row r="24">
      <c r="A24" s="2" t="inlineStr">
        <is>
          <t>BUG-023</t>
        </is>
      </c>
      <c r="B24" s="2" t="inlineStr"/>
      <c r="C24" s="2" t="inlineStr"/>
      <c r="D24" s="2" t="inlineStr"/>
      <c r="E24" s="2" t="inlineStr"/>
      <c r="F24" s="2" t="inlineStr"/>
      <c r="G24" s="2" t="inlineStr"/>
      <c r="H24" s="2" t="inlineStr"/>
      <c r="I24" s="2" t="inlineStr"/>
      <c r="J24" s="2" t="inlineStr"/>
      <c r="K24" s="2" t="inlineStr"/>
      <c r="L24" s="2" t="inlineStr"/>
    </row>
    <row r="25">
      <c r="A25" s="3" t="inlineStr">
        <is>
          <t>BUG-024</t>
        </is>
      </c>
      <c r="B25" s="3" t="inlineStr"/>
      <c r="C25" s="3" t="inlineStr"/>
      <c r="D25" s="3" t="inlineStr"/>
      <c r="E25" s="3" t="inlineStr"/>
      <c r="F25" s="3" t="inlineStr"/>
      <c r="G25" s="3" t="inlineStr"/>
      <c r="H25" s="3" t="inlineStr"/>
      <c r="I25" s="3" t="inlineStr"/>
      <c r="J25" s="3" t="inlineStr"/>
      <c r="K25" s="3" t="inlineStr"/>
      <c r="L25" s="3" t="inlineStr"/>
    </row>
    <row r="26">
      <c r="A26" s="2" t="inlineStr">
        <is>
          <t>BUG-025</t>
        </is>
      </c>
      <c r="B26" s="2" t="inlineStr"/>
      <c r="C26" s="2" t="inlineStr"/>
      <c r="D26" s="2" t="inlineStr"/>
      <c r="E26" s="2" t="inlineStr"/>
      <c r="F26" s="2" t="inlineStr"/>
      <c r="G26" s="2" t="inlineStr"/>
      <c r="H26" s="2" t="inlineStr"/>
      <c r="I26" s="2" t="inlineStr"/>
      <c r="J26" s="2" t="inlineStr"/>
      <c r="K26" s="2" t="inlineStr"/>
      <c r="L26" s="2" t="inlineStr"/>
    </row>
    <row r="27">
      <c r="A27" s="3" t="inlineStr">
        <is>
          <t>BUG-026</t>
        </is>
      </c>
      <c r="B27" s="3" t="inlineStr"/>
      <c r="C27" s="3" t="inlineStr"/>
      <c r="D27" s="3" t="inlineStr"/>
      <c r="E27" s="3" t="inlineStr"/>
      <c r="F27" s="3" t="inlineStr"/>
      <c r="G27" s="3" t="inlineStr"/>
      <c r="H27" s="3" t="inlineStr"/>
      <c r="I27" s="3" t="inlineStr"/>
      <c r="J27" s="3" t="inlineStr"/>
      <c r="K27" s="3" t="inlineStr"/>
      <c r="L27" s="3" t="inlineStr"/>
    </row>
    <row r="28">
      <c r="A28" s="2" t="inlineStr">
        <is>
          <t>BUG-027</t>
        </is>
      </c>
      <c r="B28" s="2" t="inlineStr"/>
      <c r="C28" s="2" t="inlineStr"/>
      <c r="D28" s="2" t="inlineStr"/>
      <c r="E28" s="2" t="inlineStr"/>
      <c r="F28" s="2" t="inlineStr"/>
      <c r="G28" s="2" t="inlineStr"/>
      <c r="H28" s="2" t="inlineStr"/>
      <c r="I28" s="2" t="inlineStr"/>
      <c r="J28" s="2" t="inlineStr"/>
      <c r="K28" s="2" t="inlineStr"/>
      <c r="L28" s="2" t="inlineStr"/>
    </row>
    <row r="29">
      <c r="A29" s="3" t="inlineStr">
        <is>
          <t>BUG-028</t>
        </is>
      </c>
      <c r="B29" s="3" t="inlineStr"/>
      <c r="C29" s="3" t="inlineStr"/>
      <c r="D29" s="3" t="inlineStr"/>
      <c r="E29" s="3" t="inlineStr"/>
      <c r="F29" s="3" t="inlineStr"/>
      <c r="G29" s="3" t="inlineStr"/>
      <c r="H29" s="3" t="inlineStr"/>
      <c r="I29" s="3" t="inlineStr"/>
      <c r="J29" s="3" t="inlineStr"/>
      <c r="K29" s="3" t="inlineStr"/>
      <c r="L29" s="3" t="inlineStr"/>
    </row>
    <row r="30">
      <c r="A30" s="2" t="inlineStr">
        <is>
          <t>BUG-029</t>
        </is>
      </c>
      <c r="B30" s="2" t="inlineStr"/>
      <c r="C30" s="2" t="inlineStr"/>
      <c r="D30" s="2" t="inlineStr"/>
      <c r="E30" s="2" t="inlineStr"/>
      <c r="F30" s="2" t="inlineStr"/>
      <c r="G30" s="2" t="inlineStr"/>
      <c r="H30" s="2" t="inlineStr"/>
      <c r="I30" s="2" t="inlineStr"/>
      <c r="J30" s="2" t="inlineStr"/>
      <c r="K30" s="2" t="inlineStr"/>
      <c r="L30" s="2" t="inlineStr"/>
    </row>
    <row r="31">
      <c r="A31" s="3" t="inlineStr">
        <is>
          <t>BUG-030</t>
        </is>
      </c>
      <c r="B31" s="3" t="inlineStr"/>
      <c r="C31" s="3" t="inlineStr"/>
      <c r="D31" s="3" t="inlineStr"/>
      <c r="E31" s="3" t="inlineStr"/>
      <c r="F31" s="3" t="inlineStr"/>
      <c r="G31" s="3" t="inlineStr"/>
      <c r="H31" s="3" t="inlineStr"/>
      <c r="I31" s="3" t="inlineStr"/>
      <c r="J31" s="3" t="inlineStr"/>
      <c r="K31" s="3" t="inlineStr"/>
      <c r="L31" s="3" t="inlineStr"/>
    </row>
    <row r="32">
      <c r="A32" s="2" t="inlineStr">
        <is>
          <t>BUG-031</t>
        </is>
      </c>
      <c r="B32" s="2" t="inlineStr"/>
      <c r="C32" s="2" t="inlineStr"/>
      <c r="D32" s="2" t="inlineStr"/>
      <c r="E32" s="2" t="inlineStr"/>
      <c r="F32" s="2" t="inlineStr"/>
      <c r="G32" s="2" t="inlineStr"/>
      <c r="H32" s="2" t="inlineStr"/>
      <c r="I32" s="2" t="inlineStr"/>
      <c r="J32" s="2" t="inlineStr"/>
      <c r="K32" s="2" t="inlineStr"/>
      <c r="L32" s="2" t="inlineStr"/>
    </row>
    <row r="33">
      <c r="A33" s="3" t="inlineStr">
        <is>
          <t>BUG-032</t>
        </is>
      </c>
      <c r="B33" s="3" t="inlineStr"/>
      <c r="C33" s="3" t="inlineStr"/>
      <c r="D33" s="3" t="inlineStr"/>
      <c r="E33" s="3" t="inlineStr"/>
      <c r="F33" s="3" t="inlineStr"/>
      <c r="G33" s="3" t="inlineStr"/>
      <c r="H33" s="3" t="inlineStr"/>
      <c r="I33" s="3" t="inlineStr"/>
      <c r="J33" s="3" t="inlineStr"/>
      <c r="K33" s="3" t="inlineStr"/>
      <c r="L33" s="3" t="inlineStr"/>
    </row>
    <row r="34">
      <c r="A34" s="2" t="inlineStr">
        <is>
          <t>BUG-033</t>
        </is>
      </c>
      <c r="B34" s="2" t="inlineStr"/>
      <c r="C34" s="2" t="inlineStr"/>
      <c r="D34" s="2" t="inlineStr"/>
      <c r="E34" s="2" t="inlineStr"/>
      <c r="F34" s="2" t="inlineStr"/>
      <c r="G34" s="2" t="inlineStr"/>
      <c r="H34" s="2" t="inlineStr"/>
      <c r="I34" s="2" t="inlineStr"/>
      <c r="J34" s="2" t="inlineStr"/>
      <c r="K34" s="2" t="inlineStr"/>
      <c r="L34" s="2" t="inlineStr"/>
    </row>
    <row r="35">
      <c r="A35" s="3" t="inlineStr">
        <is>
          <t>BUG-034</t>
        </is>
      </c>
      <c r="B35" s="3" t="inlineStr"/>
      <c r="C35" s="3" t="inlineStr"/>
      <c r="D35" s="3" t="inlineStr"/>
      <c r="E35" s="3" t="inlineStr"/>
      <c r="F35" s="3" t="inlineStr"/>
      <c r="G35" s="3" t="inlineStr"/>
      <c r="H35" s="3" t="inlineStr"/>
      <c r="I35" s="3" t="inlineStr"/>
      <c r="J35" s="3" t="inlineStr"/>
      <c r="K35" s="3" t="inlineStr"/>
      <c r="L35" s="3" t="inlineStr"/>
    </row>
    <row r="36">
      <c r="A36" s="2" t="inlineStr">
        <is>
          <t>BUG-035</t>
        </is>
      </c>
      <c r="B36" s="2" t="inlineStr"/>
      <c r="C36" s="2" t="inlineStr"/>
      <c r="D36" s="2" t="inlineStr"/>
      <c r="E36" s="2" t="inlineStr"/>
      <c r="F36" s="2" t="inlineStr"/>
      <c r="G36" s="2" t="inlineStr"/>
      <c r="H36" s="2" t="inlineStr"/>
      <c r="I36" s="2" t="inlineStr"/>
      <c r="J36" s="2" t="inlineStr"/>
      <c r="K36" s="2" t="inlineStr"/>
      <c r="L36" s="2" t="inlineStr"/>
    </row>
    <row r="37">
      <c r="A37" s="3" t="inlineStr">
        <is>
          <t>BUG-036</t>
        </is>
      </c>
      <c r="B37" s="3" t="inlineStr"/>
      <c r="C37" s="3" t="inlineStr"/>
      <c r="D37" s="3" t="inlineStr"/>
      <c r="E37" s="3" t="inlineStr"/>
      <c r="F37" s="3" t="inlineStr"/>
      <c r="G37" s="3" t="inlineStr"/>
      <c r="H37" s="3" t="inlineStr"/>
      <c r="I37" s="3" t="inlineStr"/>
      <c r="J37" s="3" t="inlineStr"/>
      <c r="K37" s="3" t="inlineStr"/>
      <c r="L37" s="3" t="inlineStr"/>
    </row>
    <row r="38">
      <c r="A38" s="2" t="inlineStr">
        <is>
          <t>BUG-037</t>
        </is>
      </c>
      <c r="B38" s="2" t="inlineStr"/>
      <c r="C38" s="2" t="inlineStr"/>
      <c r="D38" s="2" t="inlineStr"/>
      <c r="E38" s="2" t="inlineStr"/>
      <c r="F38" s="2" t="inlineStr"/>
      <c r="G38" s="2" t="inlineStr"/>
      <c r="H38" s="2" t="inlineStr"/>
      <c r="I38" s="2" t="inlineStr"/>
      <c r="J38" s="2" t="inlineStr"/>
      <c r="K38" s="2" t="inlineStr"/>
      <c r="L38" s="2" t="inlineStr"/>
    </row>
    <row r="39">
      <c r="A39" s="3" t="inlineStr">
        <is>
          <t>BUG-038</t>
        </is>
      </c>
      <c r="B39" s="3" t="inlineStr"/>
      <c r="C39" s="3" t="inlineStr"/>
      <c r="D39" s="3" t="inlineStr"/>
      <c r="E39" s="3" t="inlineStr"/>
      <c r="F39" s="3" t="inlineStr"/>
      <c r="G39" s="3" t="inlineStr"/>
      <c r="H39" s="3" t="inlineStr"/>
      <c r="I39" s="3" t="inlineStr"/>
      <c r="J39" s="3" t="inlineStr"/>
      <c r="K39" s="3" t="inlineStr"/>
      <c r="L39" s="3" t="inlineStr"/>
    </row>
    <row r="40">
      <c r="A40" s="2" t="inlineStr">
        <is>
          <t>BUG-039</t>
        </is>
      </c>
      <c r="B40" s="2" t="inlineStr"/>
      <c r="C40" s="2" t="inlineStr"/>
      <c r="D40" s="2" t="inlineStr"/>
      <c r="E40" s="2" t="inlineStr"/>
      <c r="F40" s="2" t="inlineStr"/>
      <c r="G40" s="2" t="inlineStr"/>
      <c r="H40" s="2" t="inlineStr"/>
      <c r="I40" s="2" t="inlineStr"/>
      <c r="J40" s="2" t="inlineStr"/>
      <c r="K40" s="2" t="inlineStr"/>
      <c r="L40" s="2" t="inlineStr"/>
    </row>
    <row r="41">
      <c r="A41" s="3" t="inlineStr">
        <is>
          <t>BUG-040</t>
        </is>
      </c>
      <c r="B41" s="3" t="inlineStr"/>
      <c r="C41" s="3" t="inlineStr"/>
      <c r="D41" s="3" t="inlineStr"/>
      <c r="E41" s="3" t="inlineStr"/>
      <c r="F41" s="3" t="inlineStr"/>
      <c r="G41" s="3" t="inlineStr"/>
      <c r="H41" s="3" t="inlineStr"/>
      <c r="I41" s="3" t="inlineStr"/>
      <c r="J41" s="3" t="inlineStr"/>
      <c r="K41" s="3" t="inlineStr"/>
      <c r="L41" s="3" t="inlineStr"/>
    </row>
    <row r="42">
      <c r="A42" s="2" t="inlineStr">
        <is>
          <t>BUG-041</t>
        </is>
      </c>
      <c r="B42" s="2" t="inlineStr"/>
      <c r="C42" s="2" t="inlineStr"/>
      <c r="D42" s="2" t="inlineStr"/>
      <c r="E42" s="2" t="inlineStr"/>
      <c r="F42" s="2" t="inlineStr"/>
      <c r="G42" s="2" t="inlineStr"/>
      <c r="H42" s="2" t="inlineStr"/>
      <c r="I42" s="2" t="inlineStr"/>
      <c r="J42" s="2" t="inlineStr"/>
      <c r="K42" s="2" t="inlineStr"/>
      <c r="L42" s="2" t="inlineStr"/>
    </row>
    <row r="43">
      <c r="A43" s="3" t="inlineStr">
        <is>
          <t>BUG-042</t>
        </is>
      </c>
      <c r="B43" s="3" t="inlineStr"/>
      <c r="C43" s="3" t="inlineStr"/>
      <c r="D43" s="3" t="inlineStr"/>
      <c r="E43" s="3" t="inlineStr"/>
      <c r="F43" s="3" t="inlineStr"/>
      <c r="G43" s="3" t="inlineStr"/>
      <c r="H43" s="3" t="inlineStr"/>
      <c r="I43" s="3" t="inlineStr"/>
      <c r="J43" s="3" t="inlineStr"/>
      <c r="K43" s="3" t="inlineStr"/>
      <c r="L43" s="3" t="inlineStr"/>
    </row>
    <row r="44">
      <c r="A44" s="2" t="inlineStr">
        <is>
          <t>BUG-043</t>
        </is>
      </c>
      <c r="B44" s="2" t="inlineStr"/>
      <c r="C44" s="2" t="inlineStr"/>
      <c r="D44" s="2" t="inlineStr"/>
      <c r="E44" s="2" t="inlineStr"/>
      <c r="F44" s="2" t="inlineStr"/>
      <c r="G44" s="2" t="inlineStr"/>
      <c r="H44" s="2" t="inlineStr"/>
      <c r="I44" s="2" t="inlineStr"/>
      <c r="J44" s="2" t="inlineStr"/>
      <c r="K44" s="2" t="inlineStr"/>
      <c r="L44" s="2" t="inlineStr"/>
    </row>
    <row r="45">
      <c r="A45" s="3" t="inlineStr">
        <is>
          <t>BUG-044</t>
        </is>
      </c>
      <c r="B45" s="3" t="inlineStr"/>
      <c r="C45" s="3" t="inlineStr"/>
      <c r="D45" s="3" t="inlineStr"/>
      <c r="E45" s="3" t="inlineStr"/>
      <c r="F45" s="3" t="inlineStr"/>
      <c r="G45" s="3" t="inlineStr"/>
      <c r="H45" s="3" t="inlineStr"/>
      <c r="I45" s="3" t="inlineStr"/>
      <c r="J45" s="3" t="inlineStr"/>
      <c r="K45" s="3" t="inlineStr"/>
      <c r="L45" s="3" t="inlineStr"/>
    </row>
    <row r="46">
      <c r="A46" s="2" t="inlineStr">
        <is>
          <t>BUG-045</t>
        </is>
      </c>
      <c r="B46" s="2" t="inlineStr"/>
      <c r="C46" s="2" t="inlineStr"/>
      <c r="D46" s="2" t="inlineStr"/>
      <c r="E46" s="2" t="inlineStr"/>
      <c r="F46" s="2" t="inlineStr"/>
      <c r="G46" s="2" t="inlineStr"/>
      <c r="H46" s="2" t="inlineStr"/>
      <c r="I46" s="2" t="inlineStr"/>
      <c r="J46" s="2" t="inlineStr"/>
      <c r="K46" s="2" t="inlineStr"/>
      <c r="L46" s="2" t="inlineStr"/>
    </row>
    <row r="47">
      <c r="A47" s="3" t="inlineStr">
        <is>
          <t>BUG-046</t>
        </is>
      </c>
      <c r="B47" s="3" t="inlineStr"/>
      <c r="C47" s="3" t="inlineStr"/>
      <c r="D47" s="3" t="inlineStr"/>
      <c r="E47" s="3" t="inlineStr"/>
      <c r="F47" s="3" t="inlineStr"/>
      <c r="G47" s="3" t="inlineStr"/>
      <c r="H47" s="3" t="inlineStr"/>
      <c r="I47" s="3" t="inlineStr"/>
      <c r="J47" s="3" t="inlineStr"/>
      <c r="K47" s="3" t="inlineStr"/>
      <c r="L47" s="3" t="inlineStr"/>
    </row>
    <row r="48">
      <c r="A48" s="2" t="inlineStr">
        <is>
          <t>BUG-047</t>
        </is>
      </c>
      <c r="B48" s="2" t="inlineStr"/>
      <c r="C48" s="2" t="inlineStr"/>
      <c r="D48" s="2" t="inlineStr"/>
      <c r="E48" s="2" t="inlineStr"/>
      <c r="F48" s="2" t="inlineStr"/>
      <c r="G48" s="2" t="inlineStr"/>
      <c r="H48" s="2" t="inlineStr"/>
      <c r="I48" s="2" t="inlineStr"/>
      <c r="J48" s="2" t="inlineStr"/>
      <c r="K48" s="2" t="inlineStr"/>
      <c r="L48" s="2" t="inlineStr"/>
    </row>
    <row r="49">
      <c r="A49" s="3" t="inlineStr">
        <is>
          <t>BUG-048</t>
        </is>
      </c>
      <c r="B49" s="3" t="inlineStr"/>
      <c r="C49" s="3" t="inlineStr"/>
      <c r="D49" s="3" t="inlineStr"/>
      <c r="E49" s="3" t="inlineStr"/>
      <c r="F49" s="3" t="inlineStr"/>
      <c r="G49" s="3" t="inlineStr"/>
      <c r="H49" s="3" t="inlineStr"/>
      <c r="I49" s="3" t="inlineStr"/>
      <c r="J49" s="3" t="inlineStr"/>
      <c r="K49" s="3" t="inlineStr"/>
      <c r="L49" s="3" t="inlineStr"/>
    </row>
    <row r="50">
      <c r="A50" s="2" t="inlineStr">
        <is>
          <t>BUG-049</t>
        </is>
      </c>
      <c r="B50" s="2" t="inlineStr"/>
      <c r="C50" s="2" t="inlineStr"/>
      <c r="D50" s="2" t="inlineStr"/>
      <c r="E50" s="2" t="inlineStr"/>
      <c r="F50" s="2" t="inlineStr"/>
      <c r="G50" s="2" t="inlineStr"/>
      <c r="H50" s="2" t="inlineStr"/>
      <c r="I50" s="2" t="inlineStr"/>
      <c r="J50" s="2" t="inlineStr"/>
      <c r="K50" s="2" t="inlineStr"/>
      <c r="L50" s="2" t="inlineStr"/>
    </row>
    <row r="51">
      <c r="A51" s="3" t="inlineStr">
        <is>
          <t>BUG-050</t>
        </is>
      </c>
      <c r="B51" s="3" t="inlineStr"/>
      <c r="C51" s="3" t="inlineStr"/>
      <c r="D51" s="3" t="inlineStr"/>
      <c r="E51" s="3" t="inlineStr"/>
      <c r="F51" s="3" t="inlineStr"/>
      <c r="G51" s="3" t="inlineStr"/>
      <c r="H51" s="3" t="inlineStr"/>
      <c r="I51" s="3" t="inlineStr"/>
      <c r="J51" s="3" t="inlineStr"/>
      <c r="K51" s="3" t="inlineStr"/>
      <c r="L51" s="3" t="inlineStr"/>
    </row>
    <row r="52">
      <c r="A52" s="2" t="inlineStr">
        <is>
          <t>BUG-051</t>
        </is>
      </c>
      <c r="B52" s="2" t="inlineStr"/>
      <c r="C52" s="2" t="inlineStr"/>
      <c r="D52" s="2" t="inlineStr"/>
      <c r="E52" s="2" t="inlineStr"/>
      <c r="F52" s="2" t="inlineStr"/>
      <c r="G52" s="2" t="inlineStr"/>
      <c r="H52" s="2" t="inlineStr"/>
      <c r="I52" s="2" t="inlineStr"/>
      <c r="J52" s="2" t="inlineStr"/>
      <c r="K52" s="2" t="inlineStr"/>
      <c r="L52" s="2" t="inlineStr"/>
    </row>
    <row r="53">
      <c r="A53" s="3" t="inlineStr">
        <is>
          <t>BUG-052</t>
        </is>
      </c>
      <c r="B53" s="3" t="inlineStr"/>
      <c r="C53" s="3" t="inlineStr"/>
      <c r="D53" s="3" t="inlineStr"/>
      <c r="E53" s="3" t="inlineStr"/>
      <c r="F53" s="3" t="inlineStr"/>
      <c r="G53" s="3" t="inlineStr"/>
      <c r="H53" s="3" t="inlineStr"/>
      <c r="I53" s="3" t="inlineStr"/>
      <c r="J53" s="3" t="inlineStr"/>
      <c r="K53" s="3" t="inlineStr"/>
      <c r="L53" s="3" t="inlineStr"/>
    </row>
    <row r="54">
      <c r="A54" s="2" t="inlineStr">
        <is>
          <t>BUG-053</t>
        </is>
      </c>
      <c r="B54" s="2" t="inlineStr"/>
      <c r="C54" s="2" t="inlineStr"/>
      <c r="D54" s="2" t="inlineStr"/>
      <c r="E54" s="2" t="inlineStr"/>
      <c r="F54" s="2" t="inlineStr"/>
      <c r="G54" s="2" t="inlineStr"/>
      <c r="H54" s="2" t="inlineStr"/>
      <c r="I54" s="2" t="inlineStr"/>
      <c r="J54" s="2" t="inlineStr"/>
      <c r="K54" s="2" t="inlineStr"/>
      <c r="L54" s="2" t="inlineStr"/>
    </row>
    <row r="55">
      <c r="A55" s="3" t="inlineStr">
        <is>
          <t>BUG-054</t>
        </is>
      </c>
      <c r="B55" s="3" t="inlineStr"/>
      <c r="C55" s="3" t="inlineStr"/>
      <c r="D55" s="3" t="inlineStr"/>
      <c r="E55" s="3" t="inlineStr"/>
      <c r="F55" s="3" t="inlineStr"/>
      <c r="G55" s="3" t="inlineStr"/>
      <c r="H55" s="3" t="inlineStr"/>
      <c r="I55" s="3" t="inlineStr"/>
      <c r="J55" s="3" t="inlineStr"/>
      <c r="K55" s="3" t="inlineStr"/>
      <c r="L55" s="3" t="inlineStr"/>
    </row>
    <row r="56">
      <c r="A56" s="2" t="inlineStr">
        <is>
          <t>BUG-055</t>
        </is>
      </c>
      <c r="B56" s="2" t="inlineStr"/>
      <c r="C56" s="2" t="inlineStr"/>
      <c r="D56" s="2" t="inlineStr"/>
      <c r="E56" s="2" t="inlineStr"/>
      <c r="F56" s="2" t="inlineStr"/>
      <c r="G56" s="2" t="inlineStr"/>
      <c r="H56" s="2" t="inlineStr"/>
      <c r="I56" s="2" t="inlineStr"/>
      <c r="J56" s="2" t="inlineStr"/>
      <c r="K56" s="2" t="inlineStr"/>
      <c r="L56" s="2" t="inlineStr"/>
    </row>
    <row r="57">
      <c r="A57" s="3" t="inlineStr">
        <is>
          <t>BUG-056</t>
        </is>
      </c>
      <c r="B57" s="3" t="inlineStr"/>
      <c r="C57" s="3" t="inlineStr"/>
      <c r="D57" s="3" t="inlineStr"/>
      <c r="E57" s="3" t="inlineStr"/>
      <c r="F57" s="3" t="inlineStr"/>
      <c r="G57" s="3" t="inlineStr"/>
      <c r="H57" s="3" t="inlineStr"/>
      <c r="I57" s="3" t="inlineStr"/>
      <c r="J57" s="3" t="inlineStr"/>
      <c r="K57" s="3" t="inlineStr"/>
      <c r="L57" s="3" t="inlineStr"/>
    </row>
    <row r="58">
      <c r="A58" s="2" t="inlineStr">
        <is>
          <t>BUG-057</t>
        </is>
      </c>
      <c r="B58" s="2" t="inlineStr"/>
      <c r="C58" s="2" t="inlineStr"/>
      <c r="D58" s="2" t="inlineStr"/>
      <c r="E58" s="2" t="inlineStr"/>
      <c r="F58" s="2" t="inlineStr"/>
      <c r="G58" s="2" t="inlineStr"/>
      <c r="H58" s="2" t="inlineStr"/>
      <c r="I58" s="2" t="inlineStr"/>
      <c r="J58" s="2" t="inlineStr"/>
      <c r="K58" s="2" t="inlineStr"/>
      <c r="L58" s="2" t="inlineStr"/>
    </row>
    <row r="59">
      <c r="A59" s="3" t="inlineStr">
        <is>
          <t>BUG-058</t>
        </is>
      </c>
      <c r="B59" s="3" t="inlineStr"/>
      <c r="C59" s="3" t="inlineStr"/>
      <c r="D59" s="3" t="inlineStr"/>
      <c r="E59" s="3" t="inlineStr"/>
      <c r="F59" s="3" t="inlineStr"/>
      <c r="G59" s="3" t="inlineStr"/>
      <c r="H59" s="3" t="inlineStr"/>
      <c r="I59" s="3" t="inlineStr"/>
      <c r="J59" s="3" t="inlineStr"/>
      <c r="K59" s="3" t="inlineStr"/>
      <c r="L59" s="3" t="inlineStr"/>
    </row>
    <row r="60">
      <c r="A60" s="2" t="inlineStr">
        <is>
          <t>BUG-059</t>
        </is>
      </c>
      <c r="B60" s="2" t="inlineStr"/>
      <c r="C60" s="2" t="inlineStr"/>
      <c r="D60" s="2" t="inlineStr"/>
      <c r="E60" s="2" t="inlineStr"/>
      <c r="F60" s="2" t="inlineStr"/>
      <c r="G60" s="2" t="inlineStr"/>
      <c r="H60" s="2" t="inlineStr"/>
      <c r="I60" s="2" t="inlineStr"/>
      <c r="J60" s="2" t="inlineStr"/>
      <c r="K60" s="2" t="inlineStr"/>
      <c r="L60" s="2" t="inlineStr"/>
    </row>
    <row r="61">
      <c r="A61" s="3" t="inlineStr">
        <is>
          <t>BUG-060</t>
        </is>
      </c>
      <c r="B61" s="3" t="inlineStr"/>
      <c r="C61" s="3" t="inlineStr"/>
      <c r="D61" s="3" t="inlineStr"/>
      <c r="E61" s="3" t="inlineStr"/>
      <c r="F61" s="3" t="inlineStr"/>
      <c r="G61" s="3" t="inlineStr"/>
      <c r="H61" s="3" t="inlineStr"/>
      <c r="I61" s="3" t="inlineStr"/>
      <c r="J61" s="3" t="inlineStr"/>
      <c r="K61" s="3" t="inlineStr"/>
      <c r="L61" s="3" t="inlineStr"/>
    </row>
  </sheetData>
  <autoFilter ref="A1:L61"/>
  <dataValidations count="2">
    <dataValidation sqref="D2:D1001" showDropDown="0" showInputMessage="0" showErrorMessage="0" allowBlank="0" type="list">
      <formula1>"Critical,High,Medium,Low"</formula1>
    </dataValidation>
    <dataValidation sqref="K2:K1001" showDropDown="0" showInputMessage="0" showErrorMessage="0" allowBlank="0" type="list">
      <formula1>"Open,Triaged,In Progress,Fixed,Retest,Closed,Reopened,Accepted"</formula1>
    </dataValidation>
  </dataValidations>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sheetPr>
  <dimension ref="A1:J101"/>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85" customWidth="1" min="4" max="4"/>
    <col width="25" customWidth="1" min="5" max="5"/>
    <col width="100" customWidth="1" min="6" max="6"/>
    <col width="50" customWidth="1" min="7" max="7"/>
    <col width="25" customWidth="1" min="8" max="8"/>
    <col width="25" customWidth="1" min="9" max="9"/>
    <col width="25" customWidth="1" min="10" max="10"/>
  </cols>
  <sheetData>
    <row r="1" ht="32" customHeight="1">
      <c r="A1" s="1" t="inlineStr">
        <is>
          <t>Execution ID</t>
        </is>
      </c>
      <c r="B1" s="1" t="inlineStr">
        <is>
          <t>Feature / Test / Parameter ID</t>
        </is>
      </c>
      <c r="C1" s="1" t="inlineStr">
        <is>
          <t>Build</t>
        </is>
      </c>
      <c r="D1" s="1" t="inlineStr">
        <is>
          <t>Scenario / Variant</t>
        </is>
      </c>
      <c r="E1" s="1" t="inlineStr">
        <is>
          <t>Status</t>
        </is>
      </c>
      <c r="F1" s="1" t="inlineStr">
        <is>
          <t>Actual Result</t>
        </is>
      </c>
      <c r="G1" s="1" t="inlineStr">
        <is>
          <t>Evidence</t>
        </is>
      </c>
      <c r="H1" s="1" t="inlineStr">
        <is>
          <t>Tester</t>
        </is>
      </c>
      <c r="I1" s="1" t="inlineStr">
        <is>
          <t>Date</t>
        </is>
      </c>
      <c r="J1" s="1" t="inlineStr">
        <is>
          <t>Bug ID</t>
        </is>
      </c>
    </row>
    <row r="2">
      <c r="A2" s="2" t="inlineStr">
        <is>
          <t>RUN-001</t>
        </is>
      </c>
      <c r="B2" s="2" t="inlineStr"/>
      <c r="C2" s="2" t="inlineStr"/>
      <c r="D2" s="2" t="inlineStr"/>
      <c r="E2" s="2" t="inlineStr">
        <is>
          <t>Not Run</t>
        </is>
      </c>
      <c r="F2" s="2" t="inlineStr"/>
      <c r="G2" s="2" t="inlineStr"/>
      <c r="H2" s="2" t="inlineStr"/>
      <c r="I2" s="2" t="inlineStr"/>
      <c r="J2" s="2" t="inlineStr"/>
    </row>
    <row r="3">
      <c r="A3" s="3" t="inlineStr">
        <is>
          <t>RUN-002</t>
        </is>
      </c>
      <c r="B3" s="3" t="inlineStr"/>
      <c r="C3" s="3" t="inlineStr"/>
      <c r="D3" s="3" t="inlineStr"/>
      <c r="E3" s="3" t="inlineStr">
        <is>
          <t>Not Run</t>
        </is>
      </c>
      <c r="F3" s="3" t="inlineStr"/>
      <c r="G3" s="3" t="inlineStr"/>
      <c r="H3" s="3" t="inlineStr"/>
      <c r="I3" s="3" t="inlineStr"/>
      <c r="J3" s="3" t="inlineStr"/>
    </row>
    <row r="4">
      <c r="A4" s="2" t="inlineStr">
        <is>
          <t>RUN-003</t>
        </is>
      </c>
      <c r="B4" s="2" t="inlineStr"/>
      <c r="C4" s="2" t="inlineStr"/>
      <c r="D4" s="2" t="inlineStr"/>
      <c r="E4" s="2" t="inlineStr">
        <is>
          <t>Not Run</t>
        </is>
      </c>
      <c r="F4" s="2" t="inlineStr"/>
      <c r="G4" s="2" t="inlineStr"/>
      <c r="H4" s="2" t="inlineStr"/>
      <c r="I4" s="2" t="inlineStr"/>
      <c r="J4" s="2" t="inlineStr"/>
    </row>
    <row r="5">
      <c r="A5" s="3" t="inlineStr">
        <is>
          <t>RUN-004</t>
        </is>
      </c>
      <c r="B5" s="3" t="inlineStr"/>
      <c r="C5" s="3" t="inlineStr"/>
      <c r="D5" s="3" t="inlineStr"/>
      <c r="E5" s="3" t="inlineStr">
        <is>
          <t>Not Run</t>
        </is>
      </c>
      <c r="F5" s="3" t="inlineStr"/>
      <c r="G5" s="3" t="inlineStr"/>
      <c r="H5" s="3" t="inlineStr"/>
      <c r="I5" s="3" t="inlineStr"/>
      <c r="J5" s="3" t="inlineStr"/>
    </row>
    <row r="6">
      <c r="A6" s="2" t="inlineStr">
        <is>
          <t>RUN-005</t>
        </is>
      </c>
      <c r="B6" s="2" t="inlineStr"/>
      <c r="C6" s="2" t="inlineStr"/>
      <c r="D6" s="2" t="inlineStr"/>
      <c r="E6" s="2" t="inlineStr">
        <is>
          <t>Not Run</t>
        </is>
      </c>
      <c r="F6" s="2" t="inlineStr"/>
      <c r="G6" s="2" t="inlineStr"/>
      <c r="H6" s="2" t="inlineStr"/>
      <c r="I6" s="2" t="inlineStr"/>
      <c r="J6" s="2" t="inlineStr"/>
    </row>
    <row r="7">
      <c r="A7" s="3" t="inlineStr">
        <is>
          <t>RUN-006</t>
        </is>
      </c>
      <c r="B7" s="3" t="inlineStr"/>
      <c r="C7" s="3" t="inlineStr"/>
      <c r="D7" s="3" t="inlineStr"/>
      <c r="E7" s="3" t="inlineStr">
        <is>
          <t>Not Run</t>
        </is>
      </c>
      <c r="F7" s="3" t="inlineStr"/>
      <c r="G7" s="3" t="inlineStr"/>
      <c r="H7" s="3" t="inlineStr"/>
      <c r="I7" s="3" t="inlineStr"/>
      <c r="J7" s="3" t="inlineStr"/>
    </row>
    <row r="8">
      <c r="A8" s="2" t="inlineStr">
        <is>
          <t>RUN-007</t>
        </is>
      </c>
      <c r="B8" s="2" t="inlineStr"/>
      <c r="C8" s="2" t="inlineStr"/>
      <c r="D8" s="2" t="inlineStr"/>
      <c r="E8" s="2" t="inlineStr">
        <is>
          <t>Not Run</t>
        </is>
      </c>
      <c r="F8" s="2" t="inlineStr"/>
      <c r="G8" s="2" t="inlineStr"/>
      <c r="H8" s="2" t="inlineStr"/>
      <c r="I8" s="2" t="inlineStr"/>
      <c r="J8" s="2" t="inlineStr"/>
    </row>
    <row r="9">
      <c r="A9" s="3" t="inlineStr">
        <is>
          <t>RUN-008</t>
        </is>
      </c>
      <c r="B9" s="3" t="inlineStr"/>
      <c r="C9" s="3" t="inlineStr"/>
      <c r="D9" s="3" t="inlineStr"/>
      <c r="E9" s="3" t="inlineStr">
        <is>
          <t>Not Run</t>
        </is>
      </c>
      <c r="F9" s="3" t="inlineStr"/>
      <c r="G9" s="3" t="inlineStr"/>
      <c r="H9" s="3" t="inlineStr"/>
      <c r="I9" s="3" t="inlineStr"/>
      <c r="J9" s="3" t="inlineStr"/>
    </row>
    <row r="10">
      <c r="A10" s="2" t="inlineStr">
        <is>
          <t>RUN-009</t>
        </is>
      </c>
      <c r="B10" s="2" t="inlineStr"/>
      <c r="C10" s="2" t="inlineStr"/>
      <c r="D10" s="2" t="inlineStr"/>
      <c r="E10" s="2" t="inlineStr">
        <is>
          <t>Not Run</t>
        </is>
      </c>
      <c r="F10" s="2" t="inlineStr"/>
      <c r="G10" s="2" t="inlineStr"/>
      <c r="H10" s="2" t="inlineStr"/>
      <c r="I10" s="2" t="inlineStr"/>
      <c r="J10" s="2" t="inlineStr"/>
    </row>
    <row r="11">
      <c r="A11" s="3" t="inlineStr">
        <is>
          <t>RUN-010</t>
        </is>
      </c>
      <c r="B11" s="3" t="inlineStr"/>
      <c r="C11" s="3" t="inlineStr"/>
      <c r="D11" s="3" t="inlineStr"/>
      <c r="E11" s="3" t="inlineStr">
        <is>
          <t>Not Run</t>
        </is>
      </c>
      <c r="F11" s="3" t="inlineStr"/>
      <c r="G11" s="3" t="inlineStr"/>
      <c r="H11" s="3" t="inlineStr"/>
      <c r="I11" s="3" t="inlineStr"/>
      <c r="J11" s="3" t="inlineStr"/>
    </row>
    <row r="12">
      <c r="A12" s="2" t="inlineStr">
        <is>
          <t>RUN-011</t>
        </is>
      </c>
      <c r="B12" s="2" t="inlineStr"/>
      <c r="C12" s="2" t="inlineStr"/>
      <c r="D12" s="2" t="inlineStr"/>
      <c r="E12" s="2" t="inlineStr">
        <is>
          <t>Not Run</t>
        </is>
      </c>
      <c r="F12" s="2" t="inlineStr"/>
      <c r="G12" s="2" t="inlineStr"/>
      <c r="H12" s="2" t="inlineStr"/>
      <c r="I12" s="2" t="inlineStr"/>
      <c r="J12" s="2" t="inlineStr"/>
    </row>
    <row r="13">
      <c r="A13" s="3" t="inlineStr">
        <is>
          <t>RUN-012</t>
        </is>
      </c>
      <c r="B13" s="3" t="inlineStr"/>
      <c r="C13" s="3" t="inlineStr"/>
      <c r="D13" s="3" t="inlineStr"/>
      <c r="E13" s="3" t="inlineStr">
        <is>
          <t>Not Run</t>
        </is>
      </c>
      <c r="F13" s="3" t="inlineStr"/>
      <c r="G13" s="3" t="inlineStr"/>
      <c r="H13" s="3" t="inlineStr"/>
      <c r="I13" s="3" t="inlineStr"/>
      <c r="J13" s="3" t="inlineStr"/>
    </row>
    <row r="14">
      <c r="A14" s="2" t="inlineStr">
        <is>
          <t>RUN-013</t>
        </is>
      </c>
      <c r="B14" s="2" t="inlineStr"/>
      <c r="C14" s="2" t="inlineStr"/>
      <c r="D14" s="2" t="inlineStr"/>
      <c r="E14" s="2" t="inlineStr">
        <is>
          <t>Not Run</t>
        </is>
      </c>
      <c r="F14" s="2" t="inlineStr"/>
      <c r="G14" s="2" t="inlineStr"/>
      <c r="H14" s="2" t="inlineStr"/>
      <c r="I14" s="2" t="inlineStr"/>
      <c r="J14" s="2" t="inlineStr"/>
    </row>
    <row r="15">
      <c r="A15" s="3" t="inlineStr">
        <is>
          <t>RUN-014</t>
        </is>
      </c>
      <c r="B15" s="3" t="inlineStr"/>
      <c r="C15" s="3" t="inlineStr"/>
      <c r="D15" s="3" t="inlineStr"/>
      <c r="E15" s="3" t="inlineStr">
        <is>
          <t>Not Run</t>
        </is>
      </c>
      <c r="F15" s="3" t="inlineStr"/>
      <c r="G15" s="3" t="inlineStr"/>
      <c r="H15" s="3" t="inlineStr"/>
      <c r="I15" s="3" t="inlineStr"/>
      <c r="J15" s="3" t="inlineStr"/>
    </row>
    <row r="16">
      <c r="A16" s="2" t="inlineStr">
        <is>
          <t>RUN-015</t>
        </is>
      </c>
      <c r="B16" s="2" t="inlineStr"/>
      <c r="C16" s="2" t="inlineStr"/>
      <c r="D16" s="2" t="inlineStr"/>
      <c r="E16" s="2" t="inlineStr">
        <is>
          <t>Not Run</t>
        </is>
      </c>
      <c r="F16" s="2" t="inlineStr"/>
      <c r="G16" s="2" t="inlineStr"/>
      <c r="H16" s="2" t="inlineStr"/>
      <c r="I16" s="2" t="inlineStr"/>
      <c r="J16" s="2" t="inlineStr"/>
    </row>
    <row r="17">
      <c r="A17" s="3" t="inlineStr">
        <is>
          <t>RUN-016</t>
        </is>
      </c>
      <c r="B17" s="3" t="inlineStr"/>
      <c r="C17" s="3" t="inlineStr"/>
      <c r="D17" s="3" t="inlineStr"/>
      <c r="E17" s="3" t="inlineStr">
        <is>
          <t>Not Run</t>
        </is>
      </c>
      <c r="F17" s="3" t="inlineStr"/>
      <c r="G17" s="3" t="inlineStr"/>
      <c r="H17" s="3" t="inlineStr"/>
      <c r="I17" s="3" t="inlineStr"/>
      <c r="J17" s="3" t="inlineStr"/>
    </row>
    <row r="18">
      <c r="A18" s="2" t="inlineStr">
        <is>
          <t>RUN-017</t>
        </is>
      </c>
      <c r="B18" s="2" t="inlineStr"/>
      <c r="C18" s="2" t="inlineStr"/>
      <c r="D18" s="2" t="inlineStr"/>
      <c r="E18" s="2" t="inlineStr">
        <is>
          <t>Not Run</t>
        </is>
      </c>
      <c r="F18" s="2" t="inlineStr"/>
      <c r="G18" s="2" t="inlineStr"/>
      <c r="H18" s="2" t="inlineStr"/>
      <c r="I18" s="2" t="inlineStr"/>
      <c r="J18" s="2" t="inlineStr"/>
    </row>
    <row r="19">
      <c r="A19" s="3" t="inlineStr">
        <is>
          <t>RUN-018</t>
        </is>
      </c>
      <c r="B19" s="3" t="inlineStr"/>
      <c r="C19" s="3" t="inlineStr"/>
      <c r="D19" s="3" t="inlineStr"/>
      <c r="E19" s="3" t="inlineStr">
        <is>
          <t>Not Run</t>
        </is>
      </c>
      <c r="F19" s="3" t="inlineStr"/>
      <c r="G19" s="3" t="inlineStr"/>
      <c r="H19" s="3" t="inlineStr"/>
      <c r="I19" s="3" t="inlineStr"/>
      <c r="J19" s="3" t="inlineStr"/>
    </row>
    <row r="20">
      <c r="A20" s="2" t="inlineStr">
        <is>
          <t>RUN-019</t>
        </is>
      </c>
      <c r="B20" s="2" t="inlineStr"/>
      <c r="C20" s="2" t="inlineStr"/>
      <c r="D20" s="2" t="inlineStr"/>
      <c r="E20" s="2" t="inlineStr">
        <is>
          <t>Not Run</t>
        </is>
      </c>
      <c r="F20" s="2" t="inlineStr"/>
      <c r="G20" s="2" t="inlineStr"/>
      <c r="H20" s="2" t="inlineStr"/>
      <c r="I20" s="2" t="inlineStr"/>
      <c r="J20" s="2" t="inlineStr"/>
    </row>
    <row r="21">
      <c r="A21" s="3" t="inlineStr">
        <is>
          <t>RUN-020</t>
        </is>
      </c>
      <c r="B21" s="3" t="inlineStr"/>
      <c r="C21" s="3" t="inlineStr"/>
      <c r="D21" s="3" t="inlineStr"/>
      <c r="E21" s="3" t="inlineStr">
        <is>
          <t>Not Run</t>
        </is>
      </c>
      <c r="F21" s="3" t="inlineStr"/>
      <c r="G21" s="3" t="inlineStr"/>
      <c r="H21" s="3" t="inlineStr"/>
      <c r="I21" s="3" t="inlineStr"/>
      <c r="J21" s="3" t="inlineStr"/>
    </row>
    <row r="22">
      <c r="A22" s="2" t="inlineStr">
        <is>
          <t>RUN-021</t>
        </is>
      </c>
      <c r="B22" s="2" t="inlineStr"/>
      <c r="C22" s="2" t="inlineStr"/>
      <c r="D22" s="2" t="inlineStr"/>
      <c r="E22" s="2" t="inlineStr">
        <is>
          <t>Not Run</t>
        </is>
      </c>
      <c r="F22" s="2" t="inlineStr"/>
      <c r="G22" s="2" t="inlineStr"/>
      <c r="H22" s="2" t="inlineStr"/>
      <c r="I22" s="2" t="inlineStr"/>
      <c r="J22" s="2" t="inlineStr"/>
    </row>
    <row r="23">
      <c r="A23" s="3" t="inlineStr">
        <is>
          <t>RUN-022</t>
        </is>
      </c>
      <c r="B23" s="3" t="inlineStr"/>
      <c r="C23" s="3" t="inlineStr"/>
      <c r="D23" s="3" t="inlineStr"/>
      <c r="E23" s="3" t="inlineStr">
        <is>
          <t>Not Run</t>
        </is>
      </c>
      <c r="F23" s="3" t="inlineStr"/>
      <c r="G23" s="3" t="inlineStr"/>
      <c r="H23" s="3" t="inlineStr"/>
      <c r="I23" s="3" t="inlineStr"/>
      <c r="J23" s="3" t="inlineStr"/>
    </row>
    <row r="24">
      <c r="A24" s="2" t="inlineStr">
        <is>
          <t>RUN-023</t>
        </is>
      </c>
      <c r="B24" s="2" t="inlineStr"/>
      <c r="C24" s="2" t="inlineStr"/>
      <c r="D24" s="2" t="inlineStr"/>
      <c r="E24" s="2" t="inlineStr">
        <is>
          <t>Not Run</t>
        </is>
      </c>
      <c r="F24" s="2" t="inlineStr"/>
      <c r="G24" s="2" t="inlineStr"/>
      <c r="H24" s="2" t="inlineStr"/>
      <c r="I24" s="2" t="inlineStr"/>
      <c r="J24" s="2" t="inlineStr"/>
    </row>
    <row r="25">
      <c r="A25" s="3" t="inlineStr">
        <is>
          <t>RUN-024</t>
        </is>
      </c>
      <c r="B25" s="3" t="inlineStr"/>
      <c r="C25" s="3" t="inlineStr"/>
      <c r="D25" s="3" t="inlineStr"/>
      <c r="E25" s="3" t="inlineStr">
        <is>
          <t>Not Run</t>
        </is>
      </c>
      <c r="F25" s="3" t="inlineStr"/>
      <c r="G25" s="3" t="inlineStr"/>
      <c r="H25" s="3" t="inlineStr"/>
      <c r="I25" s="3" t="inlineStr"/>
      <c r="J25" s="3" t="inlineStr"/>
    </row>
    <row r="26">
      <c r="A26" s="2" t="inlineStr">
        <is>
          <t>RUN-025</t>
        </is>
      </c>
      <c r="B26" s="2" t="inlineStr"/>
      <c r="C26" s="2" t="inlineStr"/>
      <c r="D26" s="2" t="inlineStr"/>
      <c r="E26" s="2" t="inlineStr">
        <is>
          <t>Not Run</t>
        </is>
      </c>
      <c r="F26" s="2" t="inlineStr"/>
      <c r="G26" s="2" t="inlineStr"/>
      <c r="H26" s="2" t="inlineStr"/>
      <c r="I26" s="2" t="inlineStr"/>
      <c r="J26" s="2" t="inlineStr"/>
    </row>
    <row r="27">
      <c r="A27" s="3" t="inlineStr">
        <is>
          <t>RUN-026</t>
        </is>
      </c>
      <c r="B27" s="3" t="inlineStr"/>
      <c r="C27" s="3" t="inlineStr"/>
      <c r="D27" s="3" t="inlineStr"/>
      <c r="E27" s="3" t="inlineStr">
        <is>
          <t>Not Run</t>
        </is>
      </c>
      <c r="F27" s="3" t="inlineStr"/>
      <c r="G27" s="3" t="inlineStr"/>
      <c r="H27" s="3" t="inlineStr"/>
      <c r="I27" s="3" t="inlineStr"/>
      <c r="J27" s="3" t="inlineStr"/>
    </row>
    <row r="28">
      <c r="A28" s="2" t="inlineStr">
        <is>
          <t>RUN-027</t>
        </is>
      </c>
      <c r="B28" s="2" t="inlineStr"/>
      <c r="C28" s="2" t="inlineStr"/>
      <c r="D28" s="2" t="inlineStr"/>
      <c r="E28" s="2" t="inlineStr">
        <is>
          <t>Not Run</t>
        </is>
      </c>
      <c r="F28" s="2" t="inlineStr"/>
      <c r="G28" s="2" t="inlineStr"/>
      <c r="H28" s="2" t="inlineStr"/>
      <c r="I28" s="2" t="inlineStr"/>
      <c r="J28" s="2" t="inlineStr"/>
    </row>
    <row r="29">
      <c r="A29" s="3" t="inlineStr">
        <is>
          <t>RUN-028</t>
        </is>
      </c>
      <c r="B29" s="3" t="inlineStr"/>
      <c r="C29" s="3" t="inlineStr"/>
      <c r="D29" s="3" t="inlineStr"/>
      <c r="E29" s="3" t="inlineStr">
        <is>
          <t>Not Run</t>
        </is>
      </c>
      <c r="F29" s="3" t="inlineStr"/>
      <c r="G29" s="3" t="inlineStr"/>
      <c r="H29" s="3" t="inlineStr"/>
      <c r="I29" s="3" t="inlineStr"/>
      <c r="J29" s="3" t="inlineStr"/>
    </row>
    <row r="30">
      <c r="A30" s="2" t="inlineStr">
        <is>
          <t>RUN-029</t>
        </is>
      </c>
      <c r="B30" s="2" t="inlineStr"/>
      <c r="C30" s="2" t="inlineStr"/>
      <c r="D30" s="2" t="inlineStr"/>
      <c r="E30" s="2" t="inlineStr">
        <is>
          <t>Not Run</t>
        </is>
      </c>
      <c r="F30" s="2" t="inlineStr"/>
      <c r="G30" s="2" t="inlineStr"/>
      <c r="H30" s="2" t="inlineStr"/>
      <c r="I30" s="2" t="inlineStr"/>
      <c r="J30" s="2" t="inlineStr"/>
    </row>
    <row r="31">
      <c r="A31" s="3" t="inlineStr">
        <is>
          <t>RUN-030</t>
        </is>
      </c>
      <c r="B31" s="3" t="inlineStr"/>
      <c r="C31" s="3" t="inlineStr"/>
      <c r="D31" s="3" t="inlineStr"/>
      <c r="E31" s="3" t="inlineStr">
        <is>
          <t>Not Run</t>
        </is>
      </c>
      <c r="F31" s="3" t="inlineStr"/>
      <c r="G31" s="3" t="inlineStr"/>
      <c r="H31" s="3" t="inlineStr"/>
      <c r="I31" s="3" t="inlineStr"/>
      <c r="J31" s="3" t="inlineStr"/>
    </row>
    <row r="32">
      <c r="A32" s="2" t="inlineStr">
        <is>
          <t>RUN-031</t>
        </is>
      </c>
      <c r="B32" s="2" t="inlineStr"/>
      <c r="C32" s="2" t="inlineStr"/>
      <c r="D32" s="2" t="inlineStr"/>
      <c r="E32" s="2" t="inlineStr">
        <is>
          <t>Not Run</t>
        </is>
      </c>
      <c r="F32" s="2" t="inlineStr"/>
      <c r="G32" s="2" t="inlineStr"/>
      <c r="H32" s="2" t="inlineStr"/>
      <c r="I32" s="2" t="inlineStr"/>
      <c r="J32" s="2" t="inlineStr"/>
    </row>
    <row r="33">
      <c r="A33" s="3" t="inlineStr">
        <is>
          <t>RUN-032</t>
        </is>
      </c>
      <c r="B33" s="3" t="inlineStr"/>
      <c r="C33" s="3" t="inlineStr"/>
      <c r="D33" s="3" t="inlineStr"/>
      <c r="E33" s="3" t="inlineStr">
        <is>
          <t>Not Run</t>
        </is>
      </c>
      <c r="F33" s="3" t="inlineStr"/>
      <c r="G33" s="3" t="inlineStr"/>
      <c r="H33" s="3" t="inlineStr"/>
      <c r="I33" s="3" t="inlineStr"/>
      <c r="J33" s="3" t="inlineStr"/>
    </row>
    <row r="34">
      <c r="A34" s="2" t="inlineStr">
        <is>
          <t>RUN-033</t>
        </is>
      </c>
      <c r="B34" s="2" t="inlineStr"/>
      <c r="C34" s="2" t="inlineStr"/>
      <c r="D34" s="2" t="inlineStr"/>
      <c r="E34" s="2" t="inlineStr">
        <is>
          <t>Not Run</t>
        </is>
      </c>
      <c r="F34" s="2" t="inlineStr"/>
      <c r="G34" s="2" t="inlineStr"/>
      <c r="H34" s="2" t="inlineStr"/>
      <c r="I34" s="2" t="inlineStr"/>
      <c r="J34" s="2" t="inlineStr"/>
    </row>
    <row r="35">
      <c r="A35" s="3" t="inlineStr">
        <is>
          <t>RUN-034</t>
        </is>
      </c>
      <c r="B35" s="3" t="inlineStr"/>
      <c r="C35" s="3" t="inlineStr"/>
      <c r="D35" s="3" t="inlineStr"/>
      <c r="E35" s="3" t="inlineStr">
        <is>
          <t>Not Run</t>
        </is>
      </c>
      <c r="F35" s="3" t="inlineStr"/>
      <c r="G35" s="3" t="inlineStr"/>
      <c r="H35" s="3" t="inlineStr"/>
      <c r="I35" s="3" t="inlineStr"/>
      <c r="J35" s="3" t="inlineStr"/>
    </row>
    <row r="36">
      <c r="A36" s="2" t="inlineStr">
        <is>
          <t>RUN-035</t>
        </is>
      </c>
      <c r="B36" s="2" t="inlineStr"/>
      <c r="C36" s="2" t="inlineStr"/>
      <c r="D36" s="2" t="inlineStr"/>
      <c r="E36" s="2" t="inlineStr">
        <is>
          <t>Not Run</t>
        </is>
      </c>
      <c r="F36" s="2" t="inlineStr"/>
      <c r="G36" s="2" t="inlineStr"/>
      <c r="H36" s="2" t="inlineStr"/>
      <c r="I36" s="2" t="inlineStr"/>
      <c r="J36" s="2" t="inlineStr"/>
    </row>
    <row r="37">
      <c r="A37" s="3" t="inlineStr">
        <is>
          <t>RUN-036</t>
        </is>
      </c>
      <c r="B37" s="3" t="inlineStr"/>
      <c r="C37" s="3" t="inlineStr"/>
      <c r="D37" s="3" t="inlineStr"/>
      <c r="E37" s="3" t="inlineStr">
        <is>
          <t>Not Run</t>
        </is>
      </c>
      <c r="F37" s="3" t="inlineStr"/>
      <c r="G37" s="3" t="inlineStr"/>
      <c r="H37" s="3" t="inlineStr"/>
      <c r="I37" s="3" t="inlineStr"/>
      <c r="J37" s="3" t="inlineStr"/>
    </row>
    <row r="38">
      <c r="A38" s="2" t="inlineStr">
        <is>
          <t>RUN-037</t>
        </is>
      </c>
      <c r="B38" s="2" t="inlineStr"/>
      <c r="C38" s="2" t="inlineStr"/>
      <c r="D38" s="2" t="inlineStr"/>
      <c r="E38" s="2" t="inlineStr">
        <is>
          <t>Not Run</t>
        </is>
      </c>
      <c r="F38" s="2" t="inlineStr"/>
      <c r="G38" s="2" t="inlineStr"/>
      <c r="H38" s="2" t="inlineStr"/>
      <c r="I38" s="2" t="inlineStr"/>
      <c r="J38" s="2" t="inlineStr"/>
    </row>
    <row r="39">
      <c r="A39" s="3" t="inlineStr">
        <is>
          <t>RUN-038</t>
        </is>
      </c>
      <c r="B39" s="3" t="inlineStr"/>
      <c r="C39" s="3" t="inlineStr"/>
      <c r="D39" s="3" t="inlineStr"/>
      <c r="E39" s="3" t="inlineStr">
        <is>
          <t>Not Run</t>
        </is>
      </c>
      <c r="F39" s="3" t="inlineStr"/>
      <c r="G39" s="3" t="inlineStr"/>
      <c r="H39" s="3" t="inlineStr"/>
      <c r="I39" s="3" t="inlineStr"/>
      <c r="J39" s="3" t="inlineStr"/>
    </row>
    <row r="40">
      <c r="A40" s="2" t="inlineStr">
        <is>
          <t>RUN-039</t>
        </is>
      </c>
      <c r="B40" s="2" t="inlineStr"/>
      <c r="C40" s="2" t="inlineStr"/>
      <c r="D40" s="2" t="inlineStr"/>
      <c r="E40" s="2" t="inlineStr">
        <is>
          <t>Not Run</t>
        </is>
      </c>
      <c r="F40" s="2" t="inlineStr"/>
      <c r="G40" s="2" t="inlineStr"/>
      <c r="H40" s="2" t="inlineStr"/>
      <c r="I40" s="2" t="inlineStr"/>
      <c r="J40" s="2" t="inlineStr"/>
    </row>
    <row r="41">
      <c r="A41" s="3" t="inlineStr">
        <is>
          <t>RUN-040</t>
        </is>
      </c>
      <c r="B41" s="3" t="inlineStr"/>
      <c r="C41" s="3" t="inlineStr"/>
      <c r="D41" s="3" t="inlineStr"/>
      <c r="E41" s="3" t="inlineStr">
        <is>
          <t>Not Run</t>
        </is>
      </c>
      <c r="F41" s="3" t="inlineStr"/>
      <c r="G41" s="3" t="inlineStr"/>
      <c r="H41" s="3" t="inlineStr"/>
      <c r="I41" s="3" t="inlineStr"/>
      <c r="J41" s="3" t="inlineStr"/>
    </row>
    <row r="42">
      <c r="A42" s="2" t="inlineStr">
        <is>
          <t>RUN-041</t>
        </is>
      </c>
      <c r="B42" s="2" t="inlineStr"/>
      <c r="C42" s="2" t="inlineStr"/>
      <c r="D42" s="2" t="inlineStr"/>
      <c r="E42" s="2" t="inlineStr">
        <is>
          <t>Not Run</t>
        </is>
      </c>
      <c r="F42" s="2" t="inlineStr"/>
      <c r="G42" s="2" t="inlineStr"/>
      <c r="H42" s="2" t="inlineStr"/>
      <c r="I42" s="2" t="inlineStr"/>
      <c r="J42" s="2" t="inlineStr"/>
    </row>
    <row r="43">
      <c r="A43" s="3" t="inlineStr">
        <is>
          <t>RUN-042</t>
        </is>
      </c>
      <c r="B43" s="3" t="inlineStr"/>
      <c r="C43" s="3" t="inlineStr"/>
      <c r="D43" s="3" t="inlineStr"/>
      <c r="E43" s="3" t="inlineStr">
        <is>
          <t>Not Run</t>
        </is>
      </c>
      <c r="F43" s="3" t="inlineStr"/>
      <c r="G43" s="3" t="inlineStr"/>
      <c r="H43" s="3" t="inlineStr"/>
      <c r="I43" s="3" t="inlineStr"/>
      <c r="J43" s="3" t="inlineStr"/>
    </row>
    <row r="44">
      <c r="A44" s="2" t="inlineStr">
        <is>
          <t>RUN-043</t>
        </is>
      </c>
      <c r="B44" s="2" t="inlineStr"/>
      <c r="C44" s="2" t="inlineStr"/>
      <c r="D44" s="2" t="inlineStr"/>
      <c r="E44" s="2" t="inlineStr">
        <is>
          <t>Not Run</t>
        </is>
      </c>
      <c r="F44" s="2" t="inlineStr"/>
      <c r="G44" s="2" t="inlineStr"/>
      <c r="H44" s="2" t="inlineStr"/>
      <c r="I44" s="2" t="inlineStr"/>
      <c r="J44" s="2" t="inlineStr"/>
    </row>
    <row r="45">
      <c r="A45" s="3" t="inlineStr">
        <is>
          <t>RUN-044</t>
        </is>
      </c>
      <c r="B45" s="3" t="inlineStr"/>
      <c r="C45" s="3" t="inlineStr"/>
      <c r="D45" s="3" t="inlineStr"/>
      <c r="E45" s="3" t="inlineStr">
        <is>
          <t>Not Run</t>
        </is>
      </c>
      <c r="F45" s="3" t="inlineStr"/>
      <c r="G45" s="3" t="inlineStr"/>
      <c r="H45" s="3" t="inlineStr"/>
      <c r="I45" s="3" t="inlineStr"/>
      <c r="J45" s="3" t="inlineStr"/>
    </row>
    <row r="46">
      <c r="A46" s="2" t="inlineStr">
        <is>
          <t>RUN-045</t>
        </is>
      </c>
      <c r="B46" s="2" t="inlineStr"/>
      <c r="C46" s="2" t="inlineStr"/>
      <c r="D46" s="2" t="inlineStr"/>
      <c r="E46" s="2" t="inlineStr">
        <is>
          <t>Not Run</t>
        </is>
      </c>
      <c r="F46" s="2" t="inlineStr"/>
      <c r="G46" s="2" t="inlineStr"/>
      <c r="H46" s="2" t="inlineStr"/>
      <c r="I46" s="2" t="inlineStr"/>
      <c r="J46" s="2" t="inlineStr"/>
    </row>
    <row r="47">
      <c r="A47" s="3" t="inlineStr">
        <is>
          <t>RUN-046</t>
        </is>
      </c>
      <c r="B47" s="3" t="inlineStr"/>
      <c r="C47" s="3" t="inlineStr"/>
      <c r="D47" s="3" t="inlineStr"/>
      <c r="E47" s="3" t="inlineStr">
        <is>
          <t>Not Run</t>
        </is>
      </c>
      <c r="F47" s="3" t="inlineStr"/>
      <c r="G47" s="3" t="inlineStr"/>
      <c r="H47" s="3" t="inlineStr"/>
      <c r="I47" s="3" t="inlineStr"/>
      <c r="J47" s="3" t="inlineStr"/>
    </row>
    <row r="48">
      <c r="A48" s="2" t="inlineStr">
        <is>
          <t>RUN-047</t>
        </is>
      </c>
      <c r="B48" s="2" t="inlineStr"/>
      <c r="C48" s="2" t="inlineStr"/>
      <c r="D48" s="2" t="inlineStr"/>
      <c r="E48" s="2" t="inlineStr">
        <is>
          <t>Not Run</t>
        </is>
      </c>
      <c r="F48" s="2" t="inlineStr"/>
      <c r="G48" s="2" t="inlineStr"/>
      <c r="H48" s="2" t="inlineStr"/>
      <c r="I48" s="2" t="inlineStr"/>
      <c r="J48" s="2" t="inlineStr"/>
    </row>
    <row r="49">
      <c r="A49" s="3" t="inlineStr">
        <is>
          <t>RUN-048</t>
        </is>
      </c>
      <c r="B49" s="3" t="inlineStr"/>
      <c r="C49" s="3" t="inlineStr"/>
      <c r="D49" s="3" t="inlineStr"/>
      <c r="E49" s="3" t="inlineStr">
        <is>
          <t>Not Run</t>
        </is>
      </c>
      <c r="F49" s="3" t="inlineStr"/>
      <c r="G49" s="3" t="inlineStr"/>
      <c r="H49" s="3" t="inlineStr"/>
      <c r="I49" s="3" t="inlineStr"/>
      <c r="J49" s="3" t="inlineStr"/>
    </row>
    <row r="50">
      <c r="A50" s="2" t="inlineStr">
        <is>
          <t>RUN-049</t>
        </is>
      </c>
      <c r="B50" s="2" t="inlineStr"/>
      <c r="C50" s="2" t="inlineStr"/>
      <c r="D50" s="2" t="inlineStr"/>
      <c r="E50" s="2" t="inlineStr">
        <is>
          <t>Not Run</t>
        </is>
      </c>
      <c r="F50" s="2" t="inlineStr"/>
      <c r="G50" s="2" t="inlineStr"/>
      <c r="H50" s="2" t="inlineStr"/>
      <c r="I50" s="2" t="inlineStr"/>
      <c r="J50" s="2" t="inlineStr"/>
    </row>
    <row r="51">
      <c r="A51" s="3" t="inlineStr">
        <is>
          <t>RUN-050</t>
        </is>
      </c>
      <c r="B51" s="3" t="inlineStr"/>
      <c r="C51" s="3" t="inlineStr"/>
      <c r="D51" s="3" t="inlineStr"/>
      <c r="E51" s="3" t="inlineStr">
        <is>
          <t>Not Run</t>
        </is>
      </c>
      <c r="F51" s="3" t="inlineStr"/>
      <c r="G51" s="3" t="inlineStr"/>
      <c r="H51" s="3" t="inlineStr"/>
      <c r="I51" s="3" t="inlineStr"/>
      <c r="J51" s="3" t="inlineStr"/>
    </row>
    <row r="52">
      <c r="A52" s="2" t="inlineStr">
        <is>
          <t>RUN-051</t>
        </is>
      </c>
      <c r="B52" s="2" t="inlineStr"/>
      <c r="C52" s="2" t="inlineStr"/>
      <c r="D52" s="2" t="inlineStr"/>
      <c r="E52" s="2" t="inlineStr">
        <is>
          <t>Not Run</t>
        </is>
      </c>
      <c r="F52" s="2" t="inlineStr"/>
      <c r="G52" s="2" t="inlineStr"/>
      <c r="H52" s="2" t="inlineStr"/>
      <c r="I52" s="2" t="inlineStr"/>
      <c r="J52" s="2" t="inlineStr"/>
    </row>
    <row r="53">
      <c r="A53" s="3" t="inlineStr">
        <is>
          <t>RUN-052</t>
        </is>
      </c>
      <c r="B53" s="3" t="inlineStr"/>
      <c r="C53" s="3" t="inlineStr"/>
      <c r="D53" s="3" t="inlineStr"/>
      <c r="E53" s="3" t="inlineStr">
        <is>
          <t>Not Run</t>
        </is>
      </c>
      <c r="F53" s="3" t="inlineStr"/>
      <c r="G53" s="3" t="inlineStr"/>
      <c r="H53" s="3" t="inlineStr"/>
      <c r="I53" s="3" t="inlineStr"/>
      <c r="J53" s="3" t="inlineStr"/>
    </row>
    <row r="54">
      <c r="A54" s="2" t="inlineStr">
        <is>
          <t>RUN-053</t>
        </is>
      </c>
      <c r="B54" s="2" t="inlineStr"/>
      <c r="C54" s="2" t="inlineStr"/>
      <c r="D54" s="2" t="inlineStr"/>
      <c r="E54" s="2" t="inlineStr">
        <is>
          <t>Not Run</t>
        </is>
      </c>
      <c r="F54" s="2" t="inlineStr"/>
      <c r="G54" s="2" t="inlineStr"/>
      <c r="H54" s="2" t="inlineStr"/>
      <c r="I54" s="2" t="inlineStr"/>
      <c r="J54" s="2" t="inlineStr"/>
    </row>
    <row r="55">
      <c r="A55" s="3" t="inlineStr">
        <is>
          <t>RUN-054</t>
        </is>
      </c>
      <c r="B55" s="3" t="inlineStr"/>
      <c r="C55" s="3" t="inlineStr"/>
      <c r="D55" s="3" t="inlineStr"/>
      <c r="E55" s="3" t="inlineStr">
        <is>
          <t>Not Run</t>
        </is>
      </c>
      <c r="F55" s="3" t="inlineStr"/>
      <c r="G55" s="3" t="inlineStr"/>
      <c r="H55" s="3" t="inlineStr"/>
      <c r="I55" s="3" t="inlineStr"/>
      <c r="J55" s="3" t="inlineStr"/>
    </row>
    <row r="56">
      <c r="A56" s="2" t="inlineStr">
        <is>
          <t>RUN-055</t>
        </is>
      </c>
      <c r="B56" s="2" t="inlineStr"/>
      <c r="C56" s="2" t="inlineStr"/>
      <c r="D56" s="2" t="inlineStr"/>
      <c r="E56" s="2" t="inlineStr">
        <is>
          <t>Not Run</t>
        </is>
      </c>
      <c r="F56" s="2" t="inlineStr"/>
      <c r="G56" s="2" t="inlineStr"/>
      <c r="H56" s="2" t="inlineStr"/>
      <c r="I56" s="2" t="inlineStr"/>
      <c r="J56" s="2" t="inlineStr"/>
    </row>
    <row r="57">
      <c r="A57" s="3" t="inlineStr">
        <is>
          <t>RUN-056</t>
        </is>
      </c>
      <c r="B57" s="3" t="inlineStr"/>
      <c r="C57" s="3" t="inlineStr"/>
      <c r="D57" s="3" t="inlineStr"/>
      <c r="E57" s="3" t="inlineStr">
        <is>
          <t>Not Run</t>
        </is>
      </c>
      <c r="F57" s="3" t="inlineStr"/>
      <c r="G57" s="3" t="inlineStr"/>
      <c r="H57" s="3" t="inlineStr"/>
      <c r="I57" s="3" t="inlineStr"/>
      <c r="J57" s="3" t="inlineStr"/>
    </row>
    <row r="58">
      <c r="A58" s="2" t="inlineStr">
        <is>
          <t>RUN-057</t>
        </is>
      </c>
      <c r="B58" s="2" t="inlineStr"/>
      <c r="C58" s="2" t="inlineStr"/>
      <c r="D58" s="2" t="inlineStr"/>
      <c r="E58" s="2" t="inlineStr">
        <is>
          <t>Not Run</t>
        </is>
      </c>
      <c r="F58" s="2" t="inlineStr"/>
      <c r="G58" s="2" t="inlineStr"/>
      <c r="H58" s="2" t="inlineStr"/>
      <c r="I58" s="2" t="inlineStr"/>
      <c r="J58" s="2" t="inlineStr"/>
    </row>
    <row r="59">
      <c r="A59" s="3" t="inlineStr">
        <is>
          <t>RUN-058</t>
        </is>
      </c>
      <c r="B59" s="3" t="inlineStr"/>
      <c r="C59" s="3" t="inlineStr"/>
      <c r="D59" s="3" t="inlineStr"/>
      <c r="E59" s="3" t="inlineStr">
        <is>
          <t>Not Run</t>
        </is>
      </c>
      <c r="F59" s="3" t="inlineStr"/>
      <c r="G59" s="3" t="inlineStr"/>
      <c r="H59" s="3" t="inlineStr"/>
      <c r="I59" s="3" t="inlineStr"/>
      <c r="J59" s="3" t="inlineStr"/>
    </row>
    <row r="60">
      <c r="A60" s="2" t="inlineStr">
        <is>
          <t>RUN-059</t>
        </is>
      </c>
      <c r="B60" s="2" t="inlineStr"/>
      <c r="C60" s="2" t="inlineStr"/>
      <c r="D60" s="2" t="inlineStr"/>
      <c r="E60" s="2" t="inlineStr">
        <is>
          <t>Not Run</t>
        </is>
      </c>
      <c r="F60" s="2" t="inlineStr"/>
      <c r="G60" s="2" t="inlineStr"/>
      <c r="H60" s="2" t="inlineStr"/>
      <c r="I60" s="2" t="inlineStr"/>
      <c r="J60" s="2" t="inlineStr"/>
    </row>
    <row r="61">
      <c r="A61" s="3" t="inlineStr">
        <is>
          <t>RUN-060</t>
        </is>
      </c>
      <c r="B61" s="3" t="inlineStr"/>
      <c r="C61" s="3" t="inlineStr"/>
      <c r="D61" s="3" t="inlineStr"/>
      <c r="E61" s="3" t="inlineStr">
        <is>
          <t>Not Run</t>
        </is>
      </c>
      <c r="F61" s="3" t="inlineStr"/>
      <c r="G61" s="3" t="inlineStr"/>
      <c r="H61" s="3" t="inlineStr"/>
      <c r="I61" s="3" t="inlineStr"/>
      <c r="J61" s="3" t="inlineStr"/>
    </row>
    <row r="62">
      <c r="A62" s="2" t="inlineStr">
        <is>
          <t>RUN-061</t>
        </is>
      </c>
      <c r="B62" s="2" t="inlineStr"/>
      <c r="C62" s="2" t="inlineStr"/>
      <c r="D62" s="2" t="inlineStr"/>
      <c r="E62" s="2" t="inlineStr">
        <is>
          <t>Not Run</t>
        </is>
      </c>
      <c r="F62" s="2" t="inlineStr"/>
      <c r="G62" s="2" t="inlineStr"/>
      <c r="H62" s="2" t="inlineStr"/>
      <c r="I62" s="2" t="inlineStr"/>
      <c r="J62" s="2" t="inlineStr"/>
    </row>
    <row r="63">
      <c r="A63" s="3" t="inlineStr">
        <is>
          <t>RUN-062</t>
        </is>
      </c>
      <c r="B63" s="3" t="inlineStr"/>
      <c r="C63" s="3" t="inlineStr"/>
      <c r="D63" s="3" t="inlineStr"/>
      <c r="E63" s="3" t="inlineStr">
        <is>
          <t>Not Run</t>
        </is>
      </c>
      <c r="F63" s="3" t="inlineStr"/>
      <c r="G63" s="3" t="inlineStr"/>
      <c r="H63" s="3" t="inlineStr"/>
      <c r="I63" s="3" t="inlineStr"/>
      <c r="J63" s="3" t="inlineStr"/>
    </row>
    <row r="64">
      <c r="A64" s="2" t="inlineStr">
        <is>
          <t>RUN-063</t>
        </is>
      </c>
      <c r="B64" s="2" t="inlineStr"/>
      <c r="C64" s="2" t="inlineStr"/>
      <c r="D64" s="2" t="inlineStr"/>
      <c r="E64" s="2" t="inlineStr">
        <is>
          <t>Not Run</t>
        </is>
      </c>
      <c r="F64" s="2" t="inlineStr"/>
      <c r="G64" s="2" t="inlineStr"/>
      <c r="H64" s="2" t="inlineStr"/>
      <c r="I64" s="2" t="inlineStr"/>
      <c r="J64" s="2" t="inlineStr"/>
    </row>
    <row r="65">
      <c r="A65" s="3" t="inlineStr">
        <is>
          <t>RUN-064</t>
        </is>
      </c>
      <c r="B65" s="3" t="inlineStr"/>
      <c r="C65" s="3" t="inlineStr"/>
      <c r="D65" s="3" t="inlineStr"/>
      <c r="E65" s="3" t="inlineStr">
        <is>
          <t>Not Run</t>
        </is>
      </c>
      <c r="F65" s="3" t="inlineStr"/>
      <c r="G65" s="3" t="inlineStr"/>
      <c r="H65" s="3" t="inlineStr"/>
      <c r="I65" s="3" t="inlineStr"/>
      <c r="J65" s="3" t="inlineStr"/>
    </row>
    <row r="66">
      <c r="A66" s="2" t="inlineStr">
        <is>
          <t>RUN-065</t>
        </is>
      </c>
      <c r="B66" s="2" t="inlineStr"/>
      <c r="C66" s="2" t="inlineStr"/>
      <c r="D66" s="2" t="inlineStr"/>
      <c r="E66" s="2" t="inlineStr">
        <is>
          <t>Not Run</t>
        </is>
      </c>
      <c r="F66" s="2" t="inlineStr"/>
      <c r="G66" s="2" t="inlineStr"/>
      <c r="H66" s="2" t="inlineStr"/>
      <c r="I66" s="2" t="inlineStr"/>
      <c r="J66" s="2" t="inlineStr"/>
    </row>
    <row r="67">
      <c r="A67" s="3" t="inlineStr">
        <is>
          <t>RUN-066</t>
        </is>
      </c>
      <c r="B67" s="3" t="inlineStr"/>
      <c r="C67" s="3" t="inlineStr"/>
      <c r="D67" s="3" t="inlineStr"/>
      <c r="E67" s="3" t="inlineStr">
        <is>
          <t>Not Run</t>
        </is>
      </c>
      <c r="F67" s="3" t="inlineStr"/>
      <c r="G67" s="3" t="inlineStr"/>
      <c r="H67" s="3" t="inlineStr"/>
      <c r="I67" s="3" t="inlineStr"/>
      <c r="J67" s="3" t="inlineStr"/>
    </row>
    <row r="68">
      <c r="A68" s="2" t="inlineStr">
        <is>
          <t>RUN-067</t>
        </is>
      </c>
      <c r="B68" s="2" t="inlineStr"/>
      <c r="C68" s="2" t="inlineStr"/>
      <c r="D68" s="2" t="inlineStr"/>
      <c r="E68" s="2" t="inlineStr">
        <is>
          <t>Not Run</t>
        </is>
      </c>
      <c r="F68" s="2" t="inlineStr"/>
      <c r="G68" s="2" t="inlineStr"/>
      <c r="H68" s="2" t="inlineStr"/>
      <c r="I68" s="2" t="inlineStr"/>
      <c r="J68" s="2" t="inlineStr"/>
    </row>
    <row r="69">
      <c r="A69" s="3" t="inlineStr">
        <is>
          <t>RUN-068</t>
        </is>
      </c>
      <c r="B69" s="3" t="inlineStr"/>
      <c r="C69" s="3" t="inlineStr"/>
      <c r="D69" s="3" t="inlineStr"/>
      <c r="E69" s="3" t="inlineStr">
        <is>
          <t>Not Run</t>
        </is>
      </c>
      <c r="F69" s="3" t="inlineStr"/>
      <c r="G69" s="3" t="inlineStr"/>
      <c r="H69" s="3" t="inlineStr"/>
      <c r="I69" s="3" t="inlineStr"/>
      <c r="J69" s="3" t="inlineStr"/>
    </row>
    <row r="70">
      <c r="A70" s="2" t="inlineStr">
        <is>
          <t>RUN-069</t>
        </is>
      </c>
      <c r="B70" s="2" t="inlineStr"/>
      <c r="C70" s="2" t="inlineStr"/>
      <c r="D70" s="2" t="inlineStr"/>
      <c r="E70" s="2" t="inlineStr">
        <is>
          <t>Not Run</t>
        </is>
      </c>
      <c r="F70" s="2" t="inlineStr"/>
      <c r="G70" s="2" t="inlineStr"/>
      <c r="H70" s="2" t="inlineStr"/>
      <c r="I70" s="2" t="inlineStr"/>
      <c r="J70" s="2" t="inlineStr"/>
    </row>
    <row r="71">
      <c r="A71" s="3" t="inlineStr">
        <is>
          <t>RUN-070</t>
        </is>
      </c>
      <c r="B71" s="3" t="inlineStr"/>
      <c r="C71" s="3" t="inlineStr"/>
      <c r="D71" s="3" t="inlineStr"/>
      <c r="E71" s="3" t="inlineStr">
        <is>
          <t>Not Run</t>
        </is>
      </c>
      <c r="F71" s="3" t="inlineStr"/>
      <c r="G71" s="3" t="inlineStr"/>
      <c r="H71" s="3" t="inlineStr"/>
      <c r="I71" s="3" t="inlineStr"/>
      <c r="J71" s="3" t="inlineStr"/>
    </row>
    <row r="72">
      <c r="A72" s="2" t="inlineStr">
        <is>
          <t>RUN-071</t>
        </is>
      </c>
      <c r="B72" s="2" t="inlineStr"/>
      <c r="C72" s="2" t="inlineStr"/>
      <c r="D72" s="2" t="inlineStr"/>
      <c r="E72" s="2" t="inlineStr">
        <is>
          <t>Not Run</t>
        </is>
      </c>
      <c r="F72" s="2" t="inlineStr"/>
      <c r="G72" s="2" t="inlineStr"/>
      <c r="H72" s="2" t="inlineStr"/>
      <c r="I72" s="2" t="inlineStr"/>
      <c r="J72" s="2" t="inlineStr"/>
    </row>
    <row r="73">
      <c r="A73" s="3" t="inlineStr">
        <is>
          <t>RUN-072</t>
        </is>
      </c>
      <c r="B73" s="3" t="inlineStr"/>
      <c r="C73" s="3" t="inlineStr"/>
      <c r="D73" s="3" t="inlineStr"/>
      <c r="E73" s="3" t="inlineStr">
        <is>
          <t>Not Run</t>
        </is>
      </c>
      <c r="F73" s="3" t="inlineStr"/>
      <c r="G73" s="3" t="inlineStr"/>
      <c r="H73" s="3" t="inlineStr"/>
      <c r="I73" s="3" t="inlineStr"/>
      <c r="J73" s="3" t="inlineStr"/>
    </row>
    <row r="74">
      <c r="A74" s="2" t="inlineStr">
        <is>
          <t>RUN-073</t>
        </is>
      </c>
      <c r="B74" s="2" t="inlineStr"/>
      <c r="C74" s="2" t="inlineStr"/>
      <c r="D74" s="2" t="inlineStr"/>
      <c r="E74" s="2" t="inlineStr">
        <is>
          <t>Not Run</t>
        </is>
      </c>
      <c r="F74" s="2" t="inlineStr"/>
      <c r="G74" s="2" t="inlineStr"/>
      <c r="H74" s="2" t="inlineStr"/>
      <c r="I74" s="2" t="inlineStr"/>
      <c r="J74" s="2" t="inlineStr"/>
    </row>
    <row r="75">
      <c r="A75" s="3" t="inlineStr">
        <is>
          <t>RUN-074</t>
        </is>
      </c>
      <c r="B75" s="3" t="inlineStr"/>
      <c r="C75" s="3" t="inlineStr"/>
      <c r="D75" s="3" t="inlineStr"/>
      <c r="E75" s="3" t="inlineStr">
        <is>
          <t>Not Run</t>
        </is>
      </c>
      <c r="F75" s="3" t="inlineStr"/>
      <c r="G75" s="3" t="inlineStr"/>
      <c r="H75" s="3" t="inlineStr"/>
      <c r="I75" s="3" t="inlineStr"/>
      <c r="J75" s="3" t="inlineStr"/>
    </row>
    <row r="76">
      <c r="A76" s="2" t="inlineStr">
        <is>
          <t>RUN-075</t>
        </is>
      </c>
      <c r="B76" s="2" t="inlineStr"/>
      <c r="C76" s="2" t="inlineStr"/>
      <c r="D76" s="2" t="inlineStr"/>
      <c r="E76" s="2" t="inlineStr">
        <is>
          <t>Not Run</t>
        </is>
      </c>
      <c r="F76" s="2" t="inlineStr"/>
      <c r="G76" s="2" t="inlineStr"/>
      <c r="H76" s="2" t="inlineStr"/>
      <c r="I76" s="2" t="inlineStr"/>
      <c r="J76" s="2" t="inlineStr"/>
    </row>
    <row r="77">
      <c r="A77" s="3" t="inlineStr">
        <is>
          <t>RUN-076</t>
        </is>
      </c>
      <c r="B77" s="3" t="inlineStr"/>
      <c r="C77" s="3" t="inlineStr"/>
      <c r="D77" s="3" t="inlineStr"/>
      <c r="E77" s="3" t="inlineStr">
        <is>
          <t>Not Run</t>
        </is>
      </c>
      <c r="F77" s="3" t="inlineStr"/>
      <c r="G77" s="3" t="inlineStr"/>
      <c r="H77" s="3" t="inlineStr"/>
      <c r="I77" s="3" t="inlineStr"/>
      <c r="J77" s="3" t="inlineStr"/>
    </row>
    <row r="78">
      <c r="A78" s="2" t="inlineStr">
        <is>
          <t>RUN-077</t>
        </is>
      </c>
      <c r="B78" s="2" t="inlineStr"/>
      <c r="C78" s="2" t="inlineStr"/>
      <c r="D78" s="2" t="inlineStr"/>
      <c r="E78" s="2" t="inlineStr">
        <is>
          <t>Not Run</t>
        </is>
      </c>
      <c r="F78" s="2" t="inlineStr"/>
      <c r="G78" s="2" t="inlineStr"/>
      <c r="H78" s="2" t="inlineStr"/>
      <c r="I78" s="2" t="inlineStr"/>
      <c r="J78" s="2" t="inlineStr"/>
    </row>
    <row r="79">
      <c r="A79" s="3" t="inlineStr">
        <is>
          <t>RUN-078</t>
        </is>
      </c>
      <c r="B79" s="3" t="inlineStr"/>
      <c r="C79" s="3" t="inlineStr"/>
      <c r="D79" s="3" t="inlineStr"/>
      <c r="E79" s="3" t="inlineStr">
        <is>
          <t>Not Run</t>
        </is>
      </c>
      <c r="F79" s="3" t="inlineStr"/>
      <c r="G79" s="3" t="inlineStr"/>
      <c r="H79" s="3" t="inlineStr"/>
      <c r="I79" s="3" t="inlineStr"/>
      <c r="J79" s="3" t="inlineStr"/>
    </row>
    <row r="80">
      <c r="A80" s="2" t="inlineStr">
        <is>
          <t>RUN-079</t>
        </is>
      </c>
      <c r="B80" s="2" t="inlineStr"/>
      <c r="C80" s="2" t="inlineStr"/>
      <c r="D80" s="2" t="inlineStr"/>
      <c r="E80" s="2" t="inlineStr">
        <is>
          <t>Not Run</t>
        </is>
      </c>
      <c r="F80" s="2" t="inlineStr"/>
      <c r="G80" s="2" t="inlineStr"/>
      <c r="H80" s="2" t="inlineStr"/>
      <c r="I80" s="2" t="inlineStr"/>
      <c r="J80" s="2" t="inlineStr"/>
    </row>
    <row r="81">
      <c r="A81" s="3" t="inlineStr">
        <is>
          <t>RUN-080</t>
        </is>
      </c>
      <c r="B81" s="3" t="inlineStr"/>
      <c r="C81" s="3" t="inlineStr"/>
      <c r="D81" s="3" t="inlineStr"/>
      <c r="E81" s="3" t="inlineStr">
        <is>
          <t>Not Run</t>
        </is>
      </c>
      <c r="F81" s="3" t="inlineStr"/>
      <c r="G81" s="3" t="inlineStr"/>
      <c r="H81" s="3" t="inlineStr"/>
      <c r="I81" s="3" t="inlineStr"/>
      <c r="J81" s="3" t="inlineStr"/>
    </row>
    <row r="82">
      <c r="A82" s="2" t="inlineStr">
        <is>
          <t>RUN-081</t>
        </is>
      </c>
      <c r="B82" s="2" t="inlineStr"/>
      <c r="C82" s="2" t="inlineStr"/>
      <c r="D82" s="2" t="inlineStr"/>
      <c r="E82" s="2" t="inlineStr">
        <is>
          <t>Not Run</t>
        </is>
      </c>
      <c r="F82" s="2" t="inlineStr"/>
      <c r="G82" s="2" t="inlineStr"/>
      <c r="H82" s="2" t="inlineStr"/>
      <c r="I82" s="2" t="inlineStr"/>
      <c r="J82" s="2" t="inlineStr"/>
    </row>
    <row r="83">
      <c r="A83" s="3" t="inlineStr">
        <is>
          <t>RUN-082</t>
        </is>
      </c>
      <c r="B83" s="3" t="inlineStr"/>
      <c r="C83" s="3" t="inlineStr"/>
      <c r="D83" s="3" t="inlineStr"/>
      <c r="E83" s="3" t="inlineStr">
        <is>
          <t>Not Run</t>
        </is>
      </c>
      <c r="F83" s="3" t="inlineStr"/>
      <c r="G83" s="3" t="inlineStr"/>
      <c r="H83" s="3" t="inlineStr"/>
      <c r="I83" s="3" t="inlineStr"/>
      <c r="J83" s="3" t="inlineStr"/>
    </row>
    <row r="84">
      <c r="A84" s="2" t="inlineStr">
        <is>
          <t>RUN-083</t>
        </is>
      </c>
      <c r="B84" s="2" t="inlineStr"/>
      <c r="C84" s="2" t="inlineStr"/>
      <c r="D84" s="2" t="inlineStr"/>
      <c r="E84" s="2" t="inlineStr">
        <is>
          <t>Not Run</t>
        </is>
      </c>
      <c r="F84" s="2" t="inlineStr"/>
      <c r="G84" s="2" t="inlineStr"/>
      <c r="H84" s="2" t="inlineStr"/>
      <c r="I84" s="2" t="inlineStr"/>
      <c r="J84" s="2" t="inlineStr"/>
    </row>
    <row r="85">
      <c r="A85" s="3" t="inlineStr">
        <is>
          <t>RUN-084</t>
        </is>
      </c>
      <c r="B85" s="3" t="inlineStr"/>
      <c r="C85" s="3" t="inlineStr"/>
      <c r="D85" s="3" t="inlineStr"/>
      <c r="E85" s="3" t="inlineStr">
        <is>
          <t>Not Run</t>
        </is>
      </c>
      <c r="F85" s="3" t="inlineStr"/>
      <c r="G85" s="3" t="inlineStr"/>
      <c r="H85" s="3" t="inlineStr"/>
      <c r="I85" s="3" t="inlineStr"/>
      <c r="J85" s="3" t="inlineStr"/>
    </row>
    <row r="86">
      <c r="A86" s="2" t="inlineStr">
        <is>
          <t>RUN-085</t>
        </is>
      </c>
      <c r="B86" s="2" t="inlineStr"/>
      <c r="C86" s="2" t="inlineStr"/>
      <c r="D86" s="2" t="inlineStr"/>
      <c r="E86" s="2" t="inlineStr">
        <is>
          <t>Not Run</t>
        </is>
      </c>
      <c r="F86" s="2" t="inlineStr"/>
      <c r="G86" s="2" t="inlineStr"/>
      <c r="H86" s="2" t="inlineStr"/>
      <c r="I86" s="2" t="inlineStr"/>
      <c r="J86" s="2" t="inlineStr"/>
    </row>
    <row r="87">
      <c r="A87" s="3" t="inlineStr">
        <is>
          <t>RUN-086</t>
        </is>
      </c>
      <c r="B87" s="3" t="inlineStr"/>
      <c r="C87" s="3" t="inlineStr"/>
      <c r="D87" s="3" t="inlineStr"/>
      <c r="E87" s="3" t="inlineStr">
        <is>
          <t>Not Run</t>
        </is>
      </c>
      <c r="F87" s="3" t="inlineStr"/>
      <c r="G87" s="3" t="inlineStr"/>
      <c r="H87" s="3" t="inlineStr"/>
      <c r="I87" s="3" t="inlineStr"/>
      <c r="J87" s="3" t="inlineStr"/>
    </row>
    <row r="88">
      <c r="A88" s="2" t="inlineStr">
        <is>
          <t>RUN-087</t>
        </is>
      </c>
      <c r="B88" s="2" t="inlineStr"/>
      <c r="C88" s="2" t="inlineStr"/>
      <c r="D88" s="2" t="inlineStr"/>
      <c r="E88" s="2" t="inlineStr">
        <is>
          <t>Not Run</t>
        </is>
      </c>
      <c r="F88" s="2" t="inlineStr"/>
      <c r="G88" s="2" t="inlineStr"/>
      <c r="H88" s="2" t="inlineStr"/>
      <c r="I88" s="2" t="inlineStr"/>
      <c r="J88" s="2" t="inlineStr"/>
    </row>
    <row r="89">
      <c r="A89" s="3" t="inlineStr">
        <is>
          <t>RUN-088</t>
        </is>
      </c>
      <c r="B89" s="3" t="inlineStr"/>
      <c r="C89" s="3" t="inlineStr"/>
      <c r="D89" s="3" t="inlineStr"/>
      <c r="E89" s="3" t="inlineStr">
        <is>
          <t>Not Run</t>
        </is>
      </c>
      <c r="F89" s="3" t="inlineStr"/>
      <c r="G89" s="3" t="inlineStr"/>
      <c r="H89" s="3" t="inlineStr"/>
      <c r="I89" s="3" t="inlineStr"/>
      <c r="J89" s="3" t="inlineStr"/>
    </row>
    <row r="90">
      <c r="A90" s="2" t="inlineStr">
        <is>
          <t>RUN-089</t>
        </is>
      </c>
      <c r="B90" s="2" t="inlineStr"/>
      <c r="C90" s="2" t="inlineStr"/>
      <c r="D90" s="2" t="inlineStr"/>
      <c r="E90" s="2" t="inlineStr">
        <is>
          <t>Not Run</t>
        </is>
      </c>
      <c r="F90" s="2" t="inlineStr"/>
      <c r="G90" s="2" t="inlineStr"/>
      <c r="H90" s="2" t="inlineStr"/>
      <c r="I90" s="2" t="inlineStr"/>
      <c r="J90" s="2" t="inlineStr"/>
    </row>
    <row r="91">
      <c r="A91" s="3" t="inlineStr">
        <is>
          <t>RUN-090</t>
        </is>
      </c>
      <c r="B91" s="3" t="inlineStr"/>
      <c r="C91" s="3" t="inlineStr"/>
      <c r="D91" s="3" t="inlineStr"/>
      <c r="E91" s="3" t="inlineStr">
        <is>
          <t>Not Run</t>
        </is>
      </c>
      <c r="F91" s="3" t="inlineStr"/>
      <c r="G91" s="3" t="inlineStr"/>
      <c r="H91" s="3" t="inlineStr"/>
      <c r="I91" s="3" t="inlineStr"/>
      <c r="J91" s="3" t="inlineStr"/>
    </row>
    <row r="92">
      <c r="A92" s="2" t="inlineStr">
        <is>
          <t>RUN-091</t>
        </is>
      </c>
      <c r="B92" s="2" t="inlineStr"/>
      <c r="C92" s="2" t="inlineStr"/>
      <c r="D92" s="2" t="inlineStr"/>
      <c r="E92" s="2" t="inlineStr">
        <is>
          <t>Not Run</t>
        </is>
      </c>
      <c r="F92" s="2" t="inlineStr"/>
      <c r="G92" s="2" t="inlineStr"/>
      <c r="H92" s="2" t="inlineStr"/>
      <c r="I92" s="2" t="inlineStr"/>
      <c r="J92" s="2" t="inlineStr"/>
    </row>
    <row r="93">
      <c r="A93" s="3" t="inlineStr">
        <is>
          <t>RUN-092</t>
        </is>
      </c>
      <c r="B93" s="3" t="inlineStr"/>
      <c r="C93" s="3" t="inlineStr"/>
      <c r="D93" s="3" t="inlineStr"/>
      <c r="E93" s="3" t="inlineStr">
        <is>
          <t>Not Run</t>
        </is>
      </c>
      <c r="F93" s="3" t="inlineStr"/>
      <c r="G93" s="3" t="inlineStr"/>
      <c r="H93" s="3" t="inlineStr"/>
      <c r="I93" s="3" t="inlineStr"/>
      <c r="J93" s="3" t="inlineStr"/>
    </row>
    <row r="94">
      <c r="A94" s="2" t="inlineStr">
        <is>
          <t>RUN-093</t>
        </is>
      </c>
      <c r="B94" s="2" t="inlineStr"/>
      <c r="C94" s="2" t="inlineStr"/>
      <c r="D94" s="2" t="inlineStr"/>
      <c r="E94" s="2" t="inlineStr">
        <is>
          <t>Not Run</t>
        </is>
      </c>
      <c r="F94" s="2" t="inlineStr"/>
      <c r="G94" s="2" t="inlineStr"/>
      <c r="H94" s="2" t="inlineStr"/>
      <c r="I94" s="2" t="inlineStr"/>
      <c r="J94" s="2" t="inlineStr"/>
    </row>
    <row r="95">
      <c r="A95" s="3" t="inlineStr">
        <is>
          <t>RUN-094</t>
        </is>
      </c>
      <c r="B95" s="3" t="inlineStr"/>
      <c r="C95" s="3" t="inlineStr"/>
      <c r="D95" s="3" t="inlineStr"/>
      <c r="E95" s="3" t="inlineStr">
        <is>
          <t>Not Run</t>
        </is>
      </c>
      <c r="F95" s="3" t="inlineStr"/>
      <c r="G95" s="3" t="inlineStr"/>
      <c r="H95" s="3" t="inlineStr"/>
      <c r="I95" s="3" t="inlineStr"/>
      <c r="J95" s="3" t="inlineStr"/>
    </row>
    <row r="96">
      <c r="A96" s="2" t="inlineStr">
        <is>
          <t>RUN-095</t>
        </is>
      </c>
      <c r="B96" s="2" t="inlineStr"/>
      <c r="C96" s="2" t="inlineStr"/>
      <c r="D96" s="2" t="inlineStr"/>
      <c r="E96" s="2" t="inlineStr">
        <is>
          <t>Not Run</t>
        </is>
      </c>
      <c r="F96" s="2" t="inlineStr"/>
      <c r="G96" s="2" t="inlineStr"/>
      <c r="H96" s="2" t="inlineStr"/>
      <c r="I96" s="2" t="inlineStr"/>
      <c r="J96" s="2" t="inlineStr"/>
    </row>
    <row r="97">
      <c r="A97" s="3" t="inlineStr">
        <is>
          <t>RUN-096</t>
        </is>
      </c>
      <c r="B97" s="3" t="inlineStr"/>
      <c r="C97" s="3" t="inlineStr"/>
      <c r="D97" s="3" t="inlineStr"/>
      <c r="E97" s="3" t="inlineStr">
        <is>
          <t>Not Run</t>
        </is>
      </c>
      <c r="F97" s="3" t="inlineStr"/>
      <c r="G97" s="3" t="inlineStr"/>
      <c r="H97" s="3" t="inlineStr"/>
      <c r="I97" s="3" t="inlineStr"/>
      <c r="J97" s="3" t="inlineStr"/>
    </row>
    <row r="98">
      <c r="A98" s="2" t="inlineStr">
        <is>
          <t>RUN-097</t>
        </is>
      </c>
      <c r="B98" s="2" t="inlineStr"/>
      <c r="C98" s="2" t="inlineStr"/>
      <c r="D98" s="2" t="inlineStr"/>
      <c r="E98" s="2" t="inlineStr">
        <is>
          <t>Not Run</t>
        </is>
      </c>
      <c r="F98" s="2" t="inlineStr"/>
      <c r="G98" s="2" t="inlineStr"/>
      <c r="H98" s="2" t="inlineStr"/>
      <c r="I98" s="2" t="inlineStr"/>
      <c r="J98" s="2" t="inlineStr"/>
    </row>
    <row r="99">
      <c r="A99" s="3" t="inlineStr">
        <is>
          <t>RUN-098</t>
        </is>
      </c>
      <c r="B99" s="3" t="inlineStr"/>
      <c r="C99" s="3" t="inlineStr"/>
      <c r="D99" s="3" t="inlineStr"/>
      <c r="E99" s="3" t="inlineStr">
        <is>
          <t>Not Run</t>
        </is>
      </c>
      <c r="F99" s="3" t="inlineStr"/>
      <c r="G99" s="3" t="inlineStr"/>
      <c r="H99" s="3" t="inlineStr"/>
      <c r="I99" s="3" t="inlineStr"/>
      <c r="J99" s="3" t="inlineStr"/>
    </row>
    <row r="100">
      <c r="A100" s="2" t="inlineStr">
        <is>
          <t>RUN-099</t>
        </is>
      </c>
      <c r="B100" s="2" t="inlineStr"/>
      <c r="C100" s="2" t="inlineStr"/>
      <c r="D100" s="2" t="inlineStr"/>
      <c r="E100" s="2" t="inlineStr">
        <is>
          <t>Not Run</t>
        </is>
      </c>
      <c r="F100" s="2" t="inlineStr"/>
      <c r="G100" s="2" t="inlineStr"/>
      <c r="H100" s="2" t="inlineStr"/>
      <c r="I100" s="2" t="inlineStr"/>
      <c r="J100" s="2" t="inlineStr"/>
    </row>
    <row r="101">
      <c r="A101" s="3" t="inlineStr">
        <is>
          <t>RUN-100</t>
        </is>
      </c>
      <c r="B101" s="3" t="inlineStr"/>
      <c r="C101" s="3" t="inlineStr"/>
      <c r="D101" s="3" t="inlineStr"/>
      <c r="E101" s="3" t="inlineStr">
        <is>
          <t>Not Run</t>
        </is>
      </c>
      <c r="F101" s="3" t="inlineStr"/>
      <c r="G101" s="3" t="inlineStr"/>
      <c r="H101" s="3" t="inlineStr"/>
      <c r="I101" s="3" t="inlineStr"/>
      <c r="J101" s="3" t="inlineStr"/>
    </row>
  </sheetData>
  <autoFilter ref="A1:J101"/>
  <conditionalFormatting sqref="E2:E101">
    <cfRule type="expression" priority="1" dxfId="0">
      <formula>E2="Pass"</formula>
    </cfRule>
    <cfRule type="expression" priority="2" dxfId="1">
      <formula>E2="Fail"</formula>
    </cfRule>
    <cfRule type="expression" priority="3" dxfId="2">
      <formula>E2="Blocked"</formula>
    </cfRule>
    <cfRule type="expression" priority="4" dxfId="3">
      <formula>E2="N/A"</formula>
    </cfRule>
  </conditionalFormatting>
  <dataValidations count="1">
    <dataValidation sqref="E2:E101" showDropDown="0" showInputMessage="0" showErrorMessage="0" allowBlank="0" type="list">
      <formula1>"Not Run,Pass,Fail,Blocked,N/A"</formula1>
    </dataValidation>
  </dataValidations>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sheetPr>
  <dimension ref="A1:B15"/>
  <sheetViews>
    <sheetView zoomScale="85"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36" customWidth="1" min="2" max="2"/>
  </cols>
  <sheetData>
    <row r="1" ht="32" customHeight="1">
      <c r="A1" s="1" t="inlineStr">
        <is>
          <t>Metric</t>
        </is>
      </c>
      <c r="B1" s="1" t="inlineStr">
        <is>
          <t>Value</t>
        </is>
      </c>
    </row>
    <row r="2">
      <c r="A2" t="inlineStr">
        <is>
          <t>Features — Not Run</t>
        </is>
      </c>
      <c r="B2">
        <f>COUNTIF('Feature Coverage'!F2:F82,"Not Run")</f>
        <v/>
      </c>
    </row>
    <row r="3">
      <c r="A3" t="inlineStr">
        <is>
          <t>Features — Pass</t>
        </is>
      </c>
      <c r="B3">
        <f>COUNTIF('Feature Coverage'!F2:F82,"Pass")</f>
        <v/>
      </c>
    </row>
    <row r="4">
      <c r="A4" t="inlineStr">
        <is>
          <t>Features — Fail</t>
        </is>
      </c>
      <c r="B4">
        <f>COUNTIF('Feature Coverage'!F2:F82,"Fail")</f>
        <v/>
      </c>
    </row>
    <row r="5">
      <c r="A5" t="inlineStr">
        <is>
          <t>Features — Blocked</t>
        </is>
      </c>
      <c r="B5">
        <f>COUNTIF('Feature Coverage'!F2:F82,"Blocked")</f>
        <v/>
      </c>
    </row>
    <row r="6">
      <c r="A6" t="inlineStr">
        <is>
          <t>Features — N/A</t>
        </is>
      </c>
      <c r="B6">
        <f>COUNTIF('Feature Coverage'!F2:F82,"N/A")</f>
        <v/>
      </c>
    </row>
    <row r="7">
      <c r="A7" t="inlineStr">
        <is>
          <t>Total features</t>
        </is>
      </c>
      <c r="B7" t="n">
        <v>81</v>
      </c>
    </row>
    <row r="8">
      <c r="A8" t="inlineStr">
        <is>
          <t>Total acceptance cases</t>
        </is>
      </c>
      <c r="B8" t="n">
        <v>239</v>
      </c>
    </row>
    <row r="9">
      <c r="A9" t="inlineStr">
        <is>
          <t>Event parameter variants</t>
        </is>
      </c>
      <c r="B9" t="n">
        <v>46</v>
      </c>
    </row>
    <row r="10">
      <c r="A10" t="inlineStr">
        <is>
          <t>Acceptance cases — Not Run</t>
        </is>
      </c>
      <c r="B10">
        <f>COUNTIF('Test Cases'!M2:M240,"Not Run")</f>
        <v/>
      </c>
    </row>
    <row r="11">
      <c r="A11" t="inlineStr">
        <is>
          <t>Acceptance cases — Pass</t>
        </is>
      </c>
      <c r="B11">
        <f>COUNTIF('Test Cases'!M2:M240,"Pass")</f>
        <v/>
      </c>
    </row>
    <row r="12">
      <c r="A12" t="inlineStr">
        <is>
          <t>Acceptance cases — Fail</t>
        </is>
      </c>
      <c r="B12">
        <f>COUNTIF('Test Cases'!M2:M240,"Fail")</f>
        <v/>
      </c>
    </row>
    <row r="13">
      <c r="A13" t="inlineStr">
        <is>
          <t>Acceptance cases — Blocked</t>
        </is>
      </c>
      <c r="B13">
        <f>COUNTIF('Test Cases'!M2:M240,"Blocked")</f>
        <v/>
      </c>
    </row>
    <row r="14">
      <c r="A14" t="inlineStr">
        <is>
          <t>Acceptance cases — N/A</t>
        </is>
      </c>
      <c r="B14">
        <f>COUNTIF('Test Cases'!M2:M240,"N/A")</f>
        <v/>
      </c>
    </row>
    <row r="15">
      <c r="A15" t="inlineStr">
        <is>
          <t>Execution rule</t>
        </is>
      </c>
      <c r="B15" t="inlineStr">
        <is>
          <t>Do not count archived per-click pack. Formula results calculate in Excel/LibreOffice; all results initially Not Run.</t>
        </is>
      </c>
    </row>
  </sheetData>
  <autoFilter ref="A1:B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2026-10-15T15:06:00Z</dcterms:created>
  <dcterms:modified xsi:type="dcterms:W3CDTF">2026-10-15T15:06:01Z</dcterms:modified>
</cp:coreProperties>
</file>